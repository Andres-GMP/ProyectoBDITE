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UMNO\Desktop\ALMACEN E INVENTARIOS\"/>
    </mc:Choice>
  </mc:AlternateContent>
  <bookViews>
    <workbookView xWindow="0" yWindow="0" windowWidth="20490" windowHeight="6525" activeTab="1"/>
  </bookViews>
  <sheets>
    <sheet name="REGISTROS" sheetId="3" r:id="rId1"/>
    <sheet name="INVENTARIO" sheetId="4" r:id="rId2"/>
    <sheet name="DATOS" sheetId="6" r:id="rId3"/>
  </sheets>
  <definedNames>
    <definedName name="_xlnm._FilterDatabase" localSheetId="1" hidden="1">INVENTARIO!$B$13:$P$14</definedName>
    <definedName name="_xlnm.Extract" localSheetId="0">REGISTROS!$B$18:$O$69995</definedName>
    <definedName name="_xlnm.Criteria" localSheetId="0">REGISTROS!$E$8:$G$9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B14" i="4" l="1"/>
  <c r="K2" i="6" l="1"/>
  <c r="N2" i="6"/>
  <c r="M2" i="6"/>
  <c r="L2" i="6"/>
  <c r="J2" i="6"/>
  <c r="D2" i="6"/>
  <c r="C2" i="6"/>
  <c r="B2" i="6"/>
  <c r="H2" i="6"/>
  <c r="I2" i="6"/>
  <c r="G2" i="6"/>
  <c r="E2" i="6"/>
  <c r="F2" i="6"/>
</calcChain>
</file>

<file path=xl/sharedStrings.xml><?xml version="1.0" encoding="utf-8"?>
<sst xmlns="http://schemas.openxmlformats.org/spreadsheetml/2006/main" count="116" uniqueCount="60">
  <si>
    <t>Descripción</t>
  </si>
  <si>
    <t>Adquisición</t>
  </si>
  <si>
    <t>Valor</t>
  </si>
  <si>
    <t>Documentación soporte</t>
  </si>
  <si>
    <t>Fecha de adquisición</t>
  </si>
  <si>
    <t>Cantidad</t>
  </si>
  <si>
    <t>Entrada de almacén</t>
  </si>
  <si>
    <t>Compra directa</t>
  </si>
  <si>
    <t>Donación</t>
  </si>
  <si>
    <t>Producción</t>
  </si>
  <si>
    <t>Reposición</t>
  </si>
  <si>
    <t>Transferencia</t>
  </si>
  <si>
    <t>Reasignación</t>
  </si>
  <si>
    <t>Indocumentación</t>
  </si>
  <si>
    <t>Inutilidad</t>
  </si>
  <si>
    <t>Área</t>
  </si>
  <si>
    <t>Resguardante</t>
  </si>
  <si>
    <t># SEP</t>
  </si>
  <si>
    <t># Inventario</t>
  </si>
  <si>
    <t>Marca</t>
  </si>
  <si>
    <t>Modelo</t>
  </si>
  <si>
    <t>Serie</t>
  </si>
  <si>
    <t>Estatus</t>
  </si>
  <si>
    <t>En uso</t>
  </si>
  <si>
    <t>Reparación</t>
  </si>
  <si>
    <t>Prestamo</t>
  </si>
  <si>
    <t>Registro de inventario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</si>
  <si>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</si>
  <si>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</si>
  <si>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</si>
  <si>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</si>
  <si>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</si>
  <si>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</si>
  <si>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</si>
  <si>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</si>
  <si>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</si>
  <si>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</si>
  <si>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</si>
  <si>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</si>
  <si>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</si>
  <si>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</si>
  <si>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Ñ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</si>
  <si>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</si>
  <si>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</si>
  <si>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</si>
  <si>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</si>
  <si>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</si>
  <si>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</si>
  <si>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</si>
  <si>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</si>
  <si>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</si>
  <si>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</si>
  <si>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</si>
  <si>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</si>
  <si>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# ITE</t>
  </si>
  <si>
    <t>Elegir adquisición</t>
  </si>
  <si>
    <t>Elegir área</t>
  </si>
  <si>
    <t>Elegir estatus</t>
  </si>
  <si>
    <t>C0000000004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</si>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</sst>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right"/>
    </xf>
    <xf numFmtId="44" fontId="0" fillId="0" borderId="1" xfId="0" applyNumberFormat="1" applyBorder="1"/>
    <xf numFmtId="0" fontId="0" fillId="0" borderId="0" xfId="0" applyBorder="1"/>
    <xf numFmtId="14" fontId="0" fillId="0" borderId="1" xfId="0" applyNumberFormat="1" applyBorder="1"/>
    <xf numFmtId="49" fontId="5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0" fontId="0" fillId="0" borderId="1" xfId="0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2" xfId="0" applyFont="1" applyFill="1" applyBorder="1"/>
    <xf numFmtId="0" fontId="4" fillId="0" borderId="0" xfId="0" applyFont="1" applyFill="1"/>
    <xf numFmtId="0" fontId="1" fillId="0" borderId="0" xfId="0" applyFont="1" applyFill="1"/>
    <xf numFmtId="0" fontId="0" fillId="0" borderId="0" xfId="0" applyFont="1" applyFill="1"/>
    <xf numFmtId="44" fontId="0" fillId="0" borderId="0" xfId="0" applyNumberFormat="1" applyFont="1" applyFill="1"/>
    <xf numFmtId="14" fontId="0" fillId="0" borderId="0" xfId="0" applyNumberFormat="1" applyFont="1" applyFill="1"/>
    <xf numFmtId="0" fontId="0" fillId="3" borderId="0" xfId="0" applyFill="1" applyAlignment="1">
      <alignment horizontal="center"/>
    </xf>
    <xf numFmtId="49" fontId="5" fillId="3" borderId="3" xfId="0" applyNumberFormat="1" applyFont="1" applyFill="1" applyBorder="1" applyAlignment="1">
      <alignment horizontal="center"/>
    </xf>
    <xf numFmtId="0" fontId="0" fillId="3" borderId="0" xfId="0" applyFont="1" applyFill="1"/>
    <xf numFmtId="44" fontId="0" fillId="3" borderId="0" xfId="0" applyNumberFormat="1" applyFont="1" applyFill="1"/>
    <xf numFmtId="14" fontId="0" fillId="3" borderId="0" xfId="0" applyNumberFormat="1" applyFont="1" applyFill="1"/>
  </cellXfs>
  <cellStyles count="1">
    <cellStyle name="Normal" xfId="0" builtinId="0"/>
  </cellStyles>
  <dxfs count="3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numFmt numFmtId="19" formatCode="dd/mm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</font>
      <numFmt numFmtId="34" formatCode="_-&quot;$&quot;* #,##0.00_-;\-&quot;$&quot;* #,##0.00_-;_-&quot;$&quot;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247649</xdr:colOff>
      <xdr:row>12</xdr:row>
      <xdr:rowOff>28575</xdr:rowOff>
    </xdr:from>
    <xdr:to>
      <xdr:col>3</xdr:col>
      <xdr:colOff>68399</xdr:colOff>
      <xdr:row>13</xdr:row>
      <xdr:rowOff>161925</xdr:rowOff>
    </xdr:to>
    <xdr:sp macro="[0]!Limpiar_registro" textlink="">
      <xdr:nvSpPr>
        <xdr:cNvPr id="2" name="Rectángulo 1"/>
        <xdr:cNvSpPr/>
      </xdr:nvSpPr>
      <xdr:spPr>
        <a:xfrm>
          <a:off x="2181224" y="2362200"/>
          <a:ext cx="1440000" cy="3238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600"/>
            <a:t>Limpiar</a:t>
          </a:r>
        </a:p>
      </xdr:txBody>
    </xdr:sp>
    <xdr:clientData/>
  </xdr:twoCellAnchor>
  <xdr:twoCellAnchor>
    <xdr:from>
      <xdr:col>4</xdr:col>
      <xdr:colOff>2171699</xdr:colOff>
      <xdr:row>12</xdr:row>
      <xdr:rowOff>28575</xdr:rowOff>
    </xdr:from>
    <xdr:to>
      <xdr:col>6</xdr:col>
      <xdr:colOff>628650</xdr:colOff>
      <xdr:row>13</xdr:row>
      <xdr:rowOff>162075</xdr:rowOff>
    </xdr:to>
    <xdr:sp macro="[0]!Busqueda_general" textlink="">
      <xdr:nvSpPr>
        <xdr:cNvPr id="8" name="Rectángulo 7"/>
        <xdr:cNvSpPr/>
      </xdr:nvSpPr>
      <xdr:spPr>
        <a:xfrm>
          <a:off x="7000874" y="2362200"/>
          <a:ext cx="2047876" cy="324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600"/>
            <a:t>Busqueda general</a:t>
          </a:r>
        </a:p>
      </xdr:txBody>
    </xdr:sp>
    <xdr:clientData/>
  </xdr:twoCellAnchor>
  <xdr:twoCellAnchor>
    <xdr:from>
      <xdr:col>3</xdr:col>
      <xdr:colOff>895350</xdr:colOff>
      <xdr:row>12</xdr:row>
      <xdr:rowOff>38100</xdr:rowOff>
    </xdr:from>
    <xdr:to>
      <xdr:col>4</xdr:col>
      <xdr:colOff>1400176</xdr:colOff>
      <xdr:row>13</xdr:row>
      <xdr:rowOff>171450</xdr:rowOff>
    </xdr:to>
    <xdr:sp macro="[0]!Buscar_código" textlink="">
      <xdr:nvSpPr>
        <xdr:cNvPr id="10" name="Rectángulo 9"/>
        <xdr:cNvSpPr/>
      </xdr:nvSpPr>
      <xdr:spPr>
        <a:xfrm>
          <a:off x="4448175" y="2371725"/>
          <a:ext cx="1781176" cy="3238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600"/>
            <a:t>Buscar código ITE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123825</xdr:colOff>
      <xdr:row>5</xdr:row>
      <xdr:rowOff>0</xdr:rowOff>
    </xdr:from>
    <xdr:to>
      <xdr:col>10</xdr:col>
      <xdr:colOff>981825</xdr:colOff>
      <xdr:row>7</xdr:row>
      <xdr:rowOff>123000</xdr:rowOff>
    </xdr:to>
    <xdr:sp macro="[0]!Limpiar_inventario" textlink="">
      <xdr:nvSpPr>
        <xdr:cNvPr id="3" name="Rectángulo 2"/>
        <xdr:cNvSpPr/>
      </xdr:nvSpPr>
      <xdr:spPr>
        <a:xfrm>
          <a:off x="7600950" y="952500"/>
          <a:ext cx="1620000" cy="5040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Limpiar</a:t>
          </a:r>
        </a:p>
      </xdr:txBody>
    </xdr:sp>
    <xdr:clientData/>
  </xdr:twoCellAnchor>
  <xdr:twoCellAnchor>
    <xdr:from>
      <xdr:col>9</xdr:col>
      <xdr:colOff>123825</xdr:colOff>
      <xdr:row>1</xdr:row>
      <xdr:rowOff>95250</xdr:rowOff>
    </xdr:from>
    <xdr:to>
      <xdr:col>10</xdr:col>
      <xdr:colOff>981825</xdr:colOff>
      <xdr:row>4</xdr:row>
      <xdr:rowOff>27750</xdr:rowOff>
    </xdr:to>
    <xdr:sp macro="[0]!Guardar_artículo" textlink="">
      <xdr:nvSpPr>
        <xdr:cNvPr id="8" name="Rectángulo 7"/>
        <xdr:cNvSpPr/>
      </xdr:nvSpPr>
      <xdr:spPr>
        <a:xfrm>
          <a:off x="7600950" y="285750"/>
          <a:ext cx="1620000" cy="5040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Guardar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Inventario" displayName="Inventario" ref="B13:P14" totalsRowShown="0" headerRowDxfId="32" dataDxfId="31">
  <tableColumns count="15">
    <tableColumn id="1" name="# ITE" dataDxfId="30">
      <calculatedColumnFormula>IF(LEN(D14)&lt;10,CONCATENATE(Inventario[Área],REPT(0,(10-LEN(D14))),D14),CONCATENATE(Inventario[Área],D14))</calculatedColumnFormula>
    </tableColumn>
    <tableColumn id="15" name="# SEP" dataDxfId="29" totalsRowDxfId="28"/>
    <tableColumn id="2" name="# Inventario" dataDxfId="27" totalsRowDxfId="26"/>
    <tableColumn id="3" name="Cantidad" dataDxfId="25" totalsRowDxfId="24"/>
    <tableColumn id="4" name="Descripción" dataDxfId="23" totalsRowDxfId="22"/>
    <tableColumn id="5" name="Marca" dataDxfId="21" totalsRowDxfId="20"/>
    <tableColumn id="6" name="Modelo" dataDxfId="19" totalsRowDxfId="18"/>
    <tableColumn id="7" name="Serie" dataDxfId="17" totalsRowDxfId="16"/>
    <tableColumn id="8" name="Valor" dataDxfId="15" totalsRowDxfId="14"/>
    <tableColumn id="9" name="Documentación soporte" dataDxfId="13" totalsRowDxfId="12"/>
    <tableColumn id="10" name="Adquisición" dataDxfId="11" totalsRowDxfId="10"/>
    <tableColumn id="11" name="Fecha de adquisición" dataDxfId="9" totalsRowDxfId="8"/>
    <tableColumn id="12" name="Área" dataDxfId="7" totalsRowDxfId="6"/>
    <tableColumn id="13" name="Resguardante" dataDxfId="5" totalsRowDxfId="4"/>
    <tableColumn id="14" name="Estatus" dataDxfId="3" totalsRowDxfId="2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" name="Adquisicíon" displayName="Adquisicíon" ref="A6:A14" totalsRowShown="0" headerRowDxfId="1">
  <autoFilter ref="A6:A14"/>
  <tableColumns count="1">
    <tableColumn id="1" name="Elegir adquisición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Estatus" displayName="Estatus" ref="C6:C10" totalsRowShown="0" headerRowDxfId="0">
  <autoFilter ref="C6:C10"/>
  <tableColumns count="1">
    <tableColumn id="1" name="Elegir estatus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5" name="Área" displayName="Área" ref="B6:B33" totalsRowShown="0">
  <autoFilter ref="B6:B33"/>
  <tableColumns count="1">
    <tableColumn id="1" name="Elegir área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O20"/>
  <sheetViews>
    <sheetView zoomScale="65" zoomScaleNormal="65" workbookViewId="0"/>
  </sheetViews>
  <sheetFormatPr baseColWidth="10" defaultRowHeight="15" x14ac:dyDescent="0.25"/>
  <cols>
    <col min="1" max="1" width="3.7109375" customWidth="1"/>
    <col min="2" max="2" width="25.28515625" customWidth="1"/>
    <col min="3" max="3" width="24.28515625" customWidth="1"/>
    <col min="4" max="4" width="19.140625" customWidth="1"/>
    <col min="5" max="5" width="34.85546875" customWidth="1"/>
    <col min="6" max="6" width="19" customWidth="1"/>
    <col min="7" max="7" width="21.7109375" customWidth="1"/>
    <col min="8" max="8" width="20.42578125" customWidth="1"/>
    <col min="9" max="9" width="12.7109375" customWidth="1"/>
    <col min="10" max="10" width="21.5703125" customWidth="1"/>
    <col min="11" max="11" width="12.7109375" customWidth="1"/>
    <col min="12" max="12" width="19.140625" customWidth="1"/>
    <col min="14" max="14" width="17.42578125" customWidth="1"/>
  </cols>
  <sheetData>
    <row r="2" spans="1:9" ht="18.75" x14ac:dyDescent="0.3">
      <c r="B2" s="2" t="s">
        <v>26</v>
      </c>
    </row>
    <row r="4" spans="1:9" x14ac:dyDescent="0.25">
      <c r="A4" s="1"/>
      <c r="B4" s="4" t="s">
        <v>54</v>
      </c>
      <c r="C4" s="4" t="s">
        <v>17</v>
      </c>
      <c r="D4" s="4" t="s">
        <v>5</v>
      </c>
      <c r="E4" s="4" t="s">
        <v>0</v>
      </c>
      <c r="F4" s="4" t="s">
        <v>19</v>
      </c>
      <c r="G4" s="4" t="s">
        <v>20</v>
      </c>
      <c r="H4" s="4" t="s">
        <v>21</v>
      </c>
      <c r="I4" s="4" t="s">
        <v>2</v>
      </c>
    </row>
    <row r="5" spans="1:9" x14ac:dyDescent="0.25">
      <c r="A5" s="1"/>
      <c r="B5" s="11"/>
      <c r="C5" s="11"/>
      <c r="D5" s="11"/>
      <c r="E5" s="11"/>
      <c r="F5" s="11"/>
      <c r="G5" s="11"/>
      <c r="H5" s="11"/>
      <c r="I5" s="12"/>
    </row>
    <row r="6" spans="1:9" x14ac:dyDescent="0.25">
      <c r="A6" s="1"/>
    </row>
    <row r="7" spans="1:9" x14ac:dyDescent="0.25">
      <c r="A7" s="1"/>
    </row>
    <row r="8" spans="1:9" x14ac:dyDescent="0.25">
      <c r="A8" s="1"/>
      <c r="B8" s="4" t="s">
        <v>3</v>
      </c>
      <c r="C8" s="4" t="s">
        <v>1</v>
      </c>
      <c r="D8" s="4" t="s">
        <v>4</v>
      </c>
      <c r="E8" s="4" t="s">
        <v>15</v>
      </c>
      <c r="F8" s="4" t="s">
        <v>16</v>
      </c>
      <c r="G8" s="4" t="s">
        <v>22</v>
      </c>
    </row>
    <row r="9" spans="1:9" x14ac:dyDescent="0.25">
      <c r="A9" s="1"/>
      <c r="B9" s="11"/>
      <c r="C9" s="11"/>
      <c r="D9" s="11"/>
      <c r="E9" s="11"/>
      <c r="F9" s="11"/>
      <c r="G9" s="11"/>
    </row>
    <row r="10" spans="1:9" x14ac:dyDescent="0.25">
      <c r="A10" s="1"/>
      <c r="B10" s="5"/>
      <c r="D10" s="7"/>
    </row>
    <row r="11" spans="1:9" x14ac:dyDescent="0.25">
      <c r="A11" s="1"/>
      <c r="D11" s="7"/>
    </row>
    <row r="12" spans="1:9" x14ac:dyDescent="0.25">
      <c r="A12" s="1"/>
      <c r="D12" s="7"/>
    </row>
    <row r="13" spans="1:9" x14ac:dyDescent="0.25">
      <c r="A13" s="1"/>
      <c r="D13" s="7"/>
    </row>
    <row r="14" spans="1:9" x14ac:dyDescent="0.25">
      <c r="A14" s="1"/>
      <c r="D14" s="7"/>
    </row>
    <row r="15" spans="1:9" x14ac:dyDescent="0.25">
      <c r="A15" s="1"/>
    </row>
    <row r="16" spans="1:9" x14ac:dyDescent="0.25">
      <c r="A16" s="1"/>
    </row>
    <row r="17" spans="1:15" x14ac:dyDescent="0.25">
      <c r="A17" s="1"/>
    </row>
    <row r="18" spans="1:15" x14ac:dyDescent="0.25">
      <c r="B18" s="10" t="s">
        <v>54</v>
      </c>
      <c r="C18" s="10" t="s">
        <v>17</v>
      </c>
      <c r="D18" s="10" t="s">
        <v>5</v>
      </c>
      <c r="E18" s="10" t="s">
        <v>0</v>
      </c>
      <c r="F18" s="10" t="s">
        <v>19</v>
      </c>
      <c r="G18" s="10" t="s">
        <v>20</v>
      </c>
      <c r="H18" s="10" t="s">
        <v>21</v>
      </c>
      <c r="I18" s="10" t="s">
        <v>2</v>
      </c>
      <c r="J18" s="10" t="s">
        <v>3</v>
      </c>
      <c r="K18" s="10" t="s">
        <v>1</v>
      </c>
      <c r="L18" s="10" t="s">
        <v>4</v>
      </c>
      <c r="M18" s="10" t="s">
        <v>15</v>
      </c>
      <c r="N18" s="10" t="s">
        <v>16</v>
      </c>
      <c r="O18" s="10" t="s">
        <v>22</v>
      </c>
    </row>
    <row r="19" spans="1:15" x14ac:dyDescent="0.25">
      <c r="B19" s="14"/>
      <c r="C19" s="9"/>
      <c r="D19" s="18"/>
      <c r="E19" s="18"/>
      <c r="F19" s="18"/>
      <c r="G19" s="18"/>
      <c r="H19" s="18"/>
      <c r="I19" s="19"/>
      <c r="J19" s="18"/>
      <c r="K19" s="18"/>
      <c r="L19" s="20"/>
      <c r="M19" s="18"/>
      <c r="N19" s="18"/>
      <c r="O19" s="18"/>
    </row>
    <row r="20" spans="1:15" x14ac:dyDescent="0.25">
      <c r="B20" s="13"/>
    </row>
  </sheetData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DATOS!$C$7:$C$10</xm:f>
          </x14:formula1>
          <xm:sqref>G9</xm:sqref>
        </x14:dataValidation>
        <x14:dataValidation type="list" allowBlank="1" showInputMessage="1" showErrorMessage="1">
          <x14:formula1>
            <xm:f>DATOS!$B$7:$B$33</xm:f>
          </x14:formula1>
          <xm:sqref>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P14"/>
  <sheetViews>
    <sheetView tabSelected="1" zoomScale="82" zoomScaleNormal="82" workbookViewId="0">
      <selection activeCell="G26" sqref="G26"/>
    </sheetView>
  </sheetViews>
  <sheetFormatPr baseColWidth="10" defaultRowHeight="15" x14ac:dyDescent="0.25"/>
  <cols>
    <col min="1" max="1" width="4.7109375" customWidth="1"/>
    <col min="2" max="2" width="14" customWidth="1"/>
    <col min="3" max="3" width="15.85546875" customWidth="1"/>
    <col min="4" max="4" width="13.7109375" customWidth="1"/>
    <col min="6" max="6" width="25.7109375" customWidth="1"/>
    <col min="7" max="7" width="22.28515625" customWidth="1"/>
    <col min="11" max="11" width="24.28515625" customWidth="1"/>
    <col min="12" max="12" width="13.5703125" customWidth="1"/>
    <col min="13" max="13" width="21.5703125" customWidth="1"/>
    <col min="15" max="15" width="15.28515625" customWidth="1"/>
  </cols>
  <sheetData>
    <row r="2" spans="2:16" x14ac:dyDescent="0.25">
      <c r="E2" s="5" t="s">
        <v>17</v>
      </c>
      <c r="F2" s="3"/>
      <c r="G2" s="5" t="s">
        <v>3</v>
      </c>
      <c r="H2" s="3"/>
    </row>
    <row r="3" spans="2:16" x14ac:dyDescent="0.25">
      <c r="E3" s="5" t="s">
        <v>18</v>
      </c>
      <c r="F3" s="3">
        <f>MAX(Inventario[[#All],['# Inventario]])+1</f>
        <v>1</v>
      </c>
      <c r="G3" s="5" t="s">
        <v>1</v>
      </c>
      <c r="H3" s="3"/>
    </row>
    <row r="4" spans="2:16" x14ac:dyDescent="0.25">
      <c r="E4" s="5" t="s">
        <v>5</v>
      </c>
      <c r="F4" s="3"/>
      <c r="G4" s="5" t="s">
        <v>4</v>
      </c>
      <c r="H4" s="8"/>
    </row>
    <row r="5" spans="2:16" x14ac:dyDescent="0.25">
      <c r="E5" s="5" t="s">
        <v>0</v>
      </c>
      <c r="F5" s="3"/>
      <c r="G5" s="5" t="s">
        <v>15</v>
      </c>
      <c r="H5" s="3"/>
    </row>
    <row r="6" spans="2:16" x14ac:dyDescent="0.25">
      <c r="E6" s="5" t="s">
        <v>19</v>
      </c>
      <c r="F6" s="3"/>
      <c r="G6" s="5" t="s">
        <v>16</v>
      </c>
      <c r="H6" s="3"/>
    </row>
    <row r="7" spans="2:16" x14ac:dyDescent="0.25">
      <c r="E7" s="5" t="s">
        <v>20</v>
      </c>
      <c r="F7" s="3"/>
      <c r="G7" s="5" t="s">
        <v>22</v>
      </c>
      <c r="H7" s="3"/>
    </row>
    <row r="8" spans="2:16" x14ac:dyDescent="0.25">
      <c r="E8" s="5" t="s">
        <v>21</v>
      </c>
      <c r="F8" s="3"/>
    </row>
    <row r="9" spans="2:16" x14ac:dyDescent="0.25">
      <c r="E9" s="5" t="s">
        <v>2</v>
      </c>
      <c r="F9" s="6"/>
    </row>
    <row r="13" spans="2:16" ht="15.75" thickBot="1" x14ac:dyDescent="0.3">
      <c r="B13" s="15" t="s">
        <v>54</v>
      </c>
      <c r="C13" s="16" t="s">
        <v>17</v>
      </c>
      <c r="D13" s="17" t="s">
        <v>18</v>
      </c>
      <c r="E13" s="17" t="s">
        <v>5</v>
      </c>
      <c r="F13" s="17" t="s">
        <v>0</v>
      </c>
      <c r="G13" s="17" t="s">
        <v>19</v>
      </c>
      <c r="H13" s="17" t="s">
        <v>20</v>
      </c>
      <c r="I13" s="17" t="s">
        <v>21</v>
      </c>
      <c r="J13" s="17" t="s">
        <v>2</v>
      </c>
      <c r="K13" s="17" t="s">
        <v>3</v>
      </c>
      <c r="L13" s="17" t="s">
        <v>1</v>
      </c>
      <c r="M13" s="17" t="s">
        <v>4</v>
      </c>
      <c r="N13" s="17" t="s">
        <v>15</v>
      </c>
      <c r="O13" s="17" t="s">
        <v>16</v>
      </c>
      <c r="P13" s="17" t="s">
        <v>22</v>
      </c>
    </row>
    <row r="14" spans="2:16" ht="15.75" thickTop="1" x14ac:dyDescent="0.25">
      <c r="B14" s="21" t="str">
        <f>IF(LEN(D14)&lt;10,CONCATENATE(Inventario[Área],REPT(0,(10-LEN(D14))),D14),CONCATENATE(Inventario[Área],D14))</f>
        <v>0000000000</v>
      </c>
      <c r="C14" s="22"/>
      <c r="D14" s="23"/>
      <c r="E14" s="23"/>
      <c r="F14" s="23"/>
      <c r="G14" s="23"/>
      <c r="H14" s="23"/>
      <c r="I14" s="23"/>
      <c r="J14" s="24"/>
      <c r="K14" s="23"/>
      <c r="L14" s="23"/>
      <c r="M14" s="25"/>
      <c r="N14" s="23"/>
      <c r="O14" s="23"/>
      <c r="P14" s="23"/>
    </row>
  </sheetData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DATOS!$B$7:$B$33</xm:f>
          </x14:formula1>
          <xm:sqref>H5</xm:sqref>
        </x14:dataValidation>
        <x14:dataValidation type="list" allowBlank="1" showInputMessage="1" showErrorMessage="1">
          <x14:formula1>
            <xm:f>DATOS!$C$7:$C$10</xm:f>
          </x14:formula1>
          <xm:sqref>H7</xm:sqref>
        </x14:dataValidation>
        <x14:dataValidation type="list" allowBlank="1" showInputMessage="1" showErrorMessage="1">
          <x14:formula1>
            <xm:f>DATOS!$A$7:$A$14</xm:f>
          </x14:formula1>
          <xm:sqref>H3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33"/>
  <sheetViews>
    <sheetView topLeftCell="A6" workbookViewId="0">
      <selection activeCell="F17" sqref="F17"/>
    </sheetView>
  </sheetViews>
  <sheetFormatPr baseColWidth="10" defaultRowHeight="15" x14ac:dyDescent="0.25"/>
  <cols>
    <col min="1" max="1" width="19.140625" customWidth="1"/>
    <col min="9" max="9" width="14.140625" customWidth="1"/>
    <col min="11" max="11" width="19" customWidth="1"/>
    <col min="13" max="13" width="13.42578125" customWidth="1"/>
  </cols>
  <sheetData>
    <row r="1" spans="1:14" x14ac:dyDescent="0.25">
      <c r="A1" s="1" t="s">
        <v>54</v>
      </c>
      <c r="B1" s="1" t="s">
        <v>17</v>
      </c>
      <c r="C1" s="1" t="s">
        <v>5</v>
      </c>
      <c r="D1" s="1" t="s">
        <v>0</v>
      </c>
      <c r="E1" s="1" t="s">
        <v>19</v>
      </c>
      <c r="F1" s="1" t="s">
        <v>20</v>
      </c>
      <c r="G1" s="1" t="s">
        <v>21</v>
      </c>
      <c r="H1" s="1" t="s">
        <v>2</v>
      </c>
      <c r="I1" s="1" t="s">
        <v>3</v>
      </c>
      <c r="J1" s="1" t="s">
        <v>1</v>
      </c>
      <c r="K1" s="1" t="s">
        <v>4</v>
      </c>
      <c r="L1" s="1" t="s">
        <v>15</v>
      </c>
      <c r="M1" s="1" t="s">
        <v>16</v>
      </c>
      <c r="N1" s="1" t="s">
        <v>22</v>
      </c>
    </row>
    <row r="2" spans="1:14" x14ac:dyDescent="0.25">
      <c r="A2" t="s">
        <v>58</v>
      </c>
      <c r="B2" t="str">
        <f>IF(ISNA(VLOOKUP($A$2,Inventario[],2,0))+ISBLANK(VLOOKUP($A$2,Inventario[],2,0)),"",VLOOKUP($A$2,Inventario[],2,0))</f>
        <v/>
      </c>
      <c r="C2" t="str">
        <f>IF(ISNA(VLOOKUP($A$2,Inventario[],4,0))+ISBLANK(VLOOKUP($A$2,Inventario[],4,0)),"",VLOOKUP($A$2,Inventario[],4,0))</f>
        <v/>
      </c>
      <c r="D2" t="str">
        <f>IF(ISNA(VLOOKUP($A$2,Inventario[],5,0))+ISBLANK(VLOOKUP($A$2,Inventario[],5,0)),"",VLOOKUP($A$2,Inventario[],5,0))</f>
        <v/>
      </c>
      <c r="E2" t="str">
        <f>IF(ISNA(VLOOKUP($A$2,Inventario[],6,0))+ISBLANK(VLOOKUP($A$2,Inventario[],6,0)),"",VLOOKUP($A$2,Inventario[],6,0))</f>
        <v/>
      </c>
      <c r="F2" t="str">
        <f>IF(ISNA(VLOOKUP($A$2,Inventario[],7,0))+ISBLANK(VLOOKUP($A$2,Inventario[],7,0)),"",VLOOKUP($A$2,Inventario[],7,0))</f>
        <v/>
      </c>
      <c r="G2" t="str">
        <f>IF(ISNA(VLOOKUP($A$2,Inventario[],8,0))+ISBLANK(VLOOKUP($A$2,Inventario[],8,0)),"",VLOOKUP($A$2,Inventario[],8,0))</f>
        <v/>
      </c>
      <c r="H2" t="str">
        <f>IF(ISNA(VLOOKUP($A$2,Inventario[],9,0))+ISBLANK(VLOOKUP($A$2,Inventario[],9,0)),"",VLOOKUP($A$2,Inventario[],9,0))</f>
        <v/>
      </c>
      <c r="I2" t="str">
        <f>IF(ISNA(VLOOKUP($A$2,Inventario[],10,0))+ISBLANK(VLOOKUP($A$2,Inventario[],10,0)),"",VLOOKUP($A$2,Inventario[],10,0))</f>
        <v/>
      </c>
      <c r="J2" t="str">
        <f>IF(ISNA(VLOOKUP($A$2,Inventario[],11,0))+ISBLANK(VLOOKUP($A$2,Inventario[],11,0)),"",VLOOKUP($A$2,Inventario[],11,0))</f>
        <v/>
      </c>
      <c r="K2" t="str">
        <f>IF(ISNA(VLOOKUP($A$2,Inventario[],12,0))+ISBLANK(VLOOKUP($A$2,Inventario[],12,0)),"",VLOOKUP($A$2,Inventario[],12,0))</f>
        <v/>
      </c>
      <c r="L2" t="str">
        <f>IF(ISNA(VLOOKUP($A$2,Inventario[],13,0))+ISBLANK(VLOOKUP($A$2,Inventario[],13,0)),"",VLOOKUP($A$2,Inventario[],13,0))</f>
        <v/>
      </c>
      <c r="M2" t="str">
        <f>IF(ISNA(VLOOKUP($A$2,Inventario[],14,0))+ISBLANK(VLOOKUP($A$2,Inventario[],14,0)),"",VLOOKUP($A$2,Inventario[],14,0))</f>
        <v/>
      </c>
      <c r="N2" t="str">
        <f>IF(ISNA(VLOOKUP($A$2,Inventario[],15,0))+ISBLANK(VLOOKUP($A$2,Inventario[],15,0)),"",VLOOKUP($A$2,Inventario[],15,0))</f>
        <v/>
      </c>
    </row>
    <row r="6" spans="1:14" x14ac:dyDescent="0.25">
      <c r="A6" s="1" t="s">
        <v>55</v>
      </c>
      <c r="B6" t="s">
        <v>56</v>
      </c>
      <c r="C6" s="1" t="s">
        <v>57</v>
      </c>
    </row>
    <row r="7" spans="1:14" x14ac:dyDescent="0.25">
      <c r="A7" t="s">
        <v>6</v>
      </c>
      <c r="B7" t="s">
        <v>27</v>
      </c>
      <c r="C7" t="s">
        <v>23</v>
      </c>
    </row>
    <row r="8" spans="1:14" x14ac:dyDescent="0.25">
      <c r="A8" t="s">
        <v>7</v>
      </c>
      <c r="B8" t="s">
        <v>28</v>
      </c>
      <c r="C8" t="s">
        <v>14</v>
      </c>
    </row>
    <row r="9" spans="1:14" x14ac:dyDescent="0.25">
      <c r="A9" t="s">
        <v>8</v>
      </c>
      <c r="B9" t="s">
        <v>29</v>
      </c>
      <c r="C9" t="s">
        <v>24</v>
      </c>
    </row>
    <row r="10" spans="1:14" x14ac:dyDescent="0.25">
      <c r="A10" t="s">
        <v>9</v>
      </c>
      <c r="B10" t="s">
        <v>30</v>
      </c>
      <c r="C10" t="s">
        <v>25</v>
      </c>
    </row>
    <row r="11" spans="1:14" x14ac:dyDescent="0.25">
      <c r="A11" t="s">
        <v>13</v>
      </c>
      <c r="B11" t="s">
        <v>31</v>
      </c>
    </row>
    <row r="12" spans="1:14" x14ac:dyDescent="0.25">
      <c r="A12" t="s">
        <v>10</v>
      </c>
      <c r="B12" t="s">
        <v>32</v>
      </c>
    </row>
    <row r="13" spans="1:14" x14ac:dyDescent="0.25">
      <c r="A13" t="s">
        <v>11</v>
      </c>
      <c r="B13" t="s">
        <v>33</v>
      </c>
    </row>
    <row r="14" spans="1:14" x14ac:dyDescent="0.25">
      <c r="A14" t="s">
        <v>12</v>
      </c>
      <c r="B14" t="s">
        <v>34</v>
      </c>
    </row>
    <row r="15" spans="1:14" x14ac:dyDescent="0.25">
      <c r="B15" t="s">
        <v>35</v>
      </c>
    </row>
    <row r="16" spans="1:14" x14ac:dyDescent="0.25">
      <c r="B16" t="s">
        <v>36</v>
      </c>
    </row>
    <row r="17" spans="2:6" x14ac:dyDescent="0.25">
      <c r="B17" t="s">
        <v>37</v>
      </c>
      <c r="F17" t="s">
        <v>59</v>
      </c>
    </row>
    <row r="18" spans="2:6" x14ac:dyDescent="0.25">
      <c r="B18" t="s">
        <v>38</v>
      </c>
    </row>
    <row r="19" spans="2:6" x14ac:dyDescent="0.25">
      <c r="B19" t="s">
        <v>39</v>
      </c>
    </row>
    <row r="20" spans="2:6" x14ac:dyDescent="0.25">
      <c r="B20" t="s">
        <v>40</v>
      </c>
    </row>
    <row r="21" spans="2:6" x14ac:dyDescent="0.25">
      <c r="B21" t="s">
        <v>41</v>
      </c>
    </row>
    <row r="22" spans="2:6" x14ac:dyDescent="0.25">
      <c r="B22" t="s">
        <v>42</v>
      </c>
    </row>
    <row r="23" spans="2:6" x14ac:dyDescent="0.25">
      <c r="B23" t="s">
        <v>43</v>
      </c>
    </row>
    <row r="24" spans="2:6" x14ac:dyDescent="0.25">
      <c r="B24" t="s">
        <v>44</v>
      </c>
    </row>
    <row r="25" spans="2:6" x14ac:dyDescent="0.25">
      <c r="B25" t="s">
        <v>45</v>
      </c>
    </row>
    <row r="26" spans="2:6" x14ac:dyDescent="0.25">
      <c r="B26" t="s">
        <v>46</v>
      </c>
    </row>
    <row r="27" spans="2:6" x14ac:dyDescent="0.25">
      <c r="B27" t="s">
        <v>47</v>
      </c>
    </row>
    <row r="28" spans="2:6" x14ac:dyDescent="0.25">
      <c r="B28" t="s">
        <v>48</v>
      </c>
    </row>
    <row r="29" spans="2:6" x14ac:dyDescent="0.25">
      <c r="B29" t="s">
        <v>49</v>
      </c>
    </row>
    <row r="30" spans="2:6" x14ac:dyDescent="0.25">
      <c r="B30" t="s">
        <v>50</v>
      </c>
    </row>
    <row r="31" spans="2:6" x14ac:dyDescent="0.25">
      <c r="B31" t="s">
        <v>51</v>
      </c>
    </row>
    <row r="32" spans="2:6" x14ac:dyDescent="0.25">
      <c r="B32" t="s">
        <v>52</v>
      </c>
    </row>
    <row r="33" spans="2:2" x14ac:dyDescent="0.25">
      <c r="B33" t="s">
        <v>53</v>
      </c>
    </row>
  </sheetData>
  <pageMargins left="0.7" right="0.7" top="0.75" bottom="0.75" header="0.3" footer="0.3"/>
  <pageSetup orientation="portrait" horizontalDpi="1200" verticalDpi="120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REGISTROS</vt:lpstr>
      <vt:lpstr>INVENTARIO</vt:lpstr>
      <vt:lpstr>DATOS</vt:lpstr>
      <vt:lpstr>REGISTROS!Área_de_extracción</vt:lpstr>
      <vt:lpstr>REGISTROS!Criterios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Paty</dc:creator>
  <cp:lastModifiedBy>INVENTARIOS</cp:lastModifiedBy>
  <dcterms:created xsi:type="dcterms:W3CDTF">2021-07-14T05:26:20Z</dcterms:created>
  <dcterms:modified xsi:type="dcterms:W3CDTF">2021-08-10T19:15:49Z</dcterms:modified>
</cp:coreProperties>
</file>