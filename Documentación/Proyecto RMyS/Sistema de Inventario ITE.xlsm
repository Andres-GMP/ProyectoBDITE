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iback\Desktop\"/>
    </mc:Choice>
  </mc:AlternateContent>
  <bookViews>
    <workbookView xWindow="0" yWindow="0" windowWidth="20490" windowHeight="6525"/>
  </bookViews>
  <sheets>
    <sheet name="INVENTARIO" sheetId="4" r:id="rId1"/>
    <sheet name="BUSQUEDA" sheetId="3" r:id="rId2"/>
    <sheet name="DATOS PARA VALE DE RESGUARDO" sheetId="8" r:id="rId3"/>
    <sheet name="VALE DE RESGUARDO" sheetId="9" r:id="rId4"/>
    <sheet name="DATOS" sheetId="6" r:id="rId5"/>
  </sheets>
  <definedNames>
    <definedName name="_xlnm._FilterDatabase" localSheetId="0" hidden="1">INVENTARIO!$B$13:$P$348</definedName>
    <definedName name="ADQUISICIÓN">Tabla_Adquisicíon[Adquisición]</definedName>
    <definedName name="_xlnm.Extract" localSheetId="1">BUSQUEDA!$B$18:$O$80000</definedName>
    <definedName name="ÁREAS">Tabla_Área[Área]</definedName>
    <definedName name="_xlnm.Criteria" localSheetId="1">BUSQUEDA!$E$8:$G$9</definedName>
    <definedName name="ESTATUS">Tabla_Estatus[Estatus]</definedName>
    <definedName name="RESGUARDANTE">DATOS!$G$7:$G$14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B14" i="4" l="1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 l="1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 l="1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 l="1"/>
  <c r="K2" i="8" l="1"/>
  <c r="I2" i="8"/>
  <c r="N2" i="6" l="1"/>
  <c r="I2" i="6"/>
  <c r="K2" i="6"/>
  <c r="J2" i="6"/>
  <c r="D2" i="6"/>
  <c r="G2" i="6"/>
  <c r="F2" i="6"/>
  <c r="M2" i="6"/>
  <c r="C2" i="6"/>
  <c r="B2" i="6"/>
  <c r="L2" i="6"/>
  <c r="E2" i="6"/>
  <c r="H2" i="6"/>
</calcChain>
</file>

<file path=xl/sharedStrings.xml><?xml version="1.0" encoding="utf-8"?>
<sst xmlns="http://schemas.openxmlformats.org/spreadsheetml/2006/main" count="3922" uniqueCount="321">
  <si>
    <t>Descripción</t>
  </si>
  <si>
    <t>Adquisición</t>
  </si>
  <si>
    <t>Valor</t>
  </si>
  <si>
    <t>Documentación soporte</t>
  </si>
  <si>
    <t>Fecha de adquisición</t>
  </si>
  <si>
    <t>Cantidad</t>
  </si>
  <si>
    <t>Entrada de almacén</t>
  </si>
  <si>
    <t>Compra directa</t>
  </si>
  <si>
    <t>Donación</t>
  </si>
  <si>
    <t>Producción</t>
  </si>
  <si>
    <t>Reposición</t>
  </si>
  <si>
    <t>Transferencia</t>
  </si>
  <si>
    <t>Reasignación</t>
  </si>
  <si>
    <t>Indocumentación</t>
  </si>
  <si>
    <t>Inutilidad</t>
  </si>
  <si>
    <t>Área</t>
  </si>
  <si>
    <t>Resguardante</t>
  </si>
  <si>
    <t># SEP</t>
  </si>
  <si>
    <t># Inventario</t>
  </si>
  <si>
    <t>Marca</t>
  </si>
  <si>
    <t>Modelo</t>
  </si>
  <si>
    <t>Serie</t>
  </si>
  <si>
    <t>Estatus</t>
  </si>
  <si>
    <t>En uso</t>
  </si>
  <si>
    <t>Reparación</t>
  </si>
  <si>
    <t>Prestamo</t>
  </si>
  <si>
    <t>ATENCIÓN NO BORRAR ESTA FILA</t>
  </si>
  <si>
    <t>FECHA</t>
  </si>
  <si>
    <t>ID-SEP</t>
  </si>
  <si>
    <t>ID SEP</t>
  </si>
  <si>
    <t xml:space="preserve"> VALOR TOTAL DE BIENES:</t>
  </si>
  <si>
    <t>TOTAL DE BIENES:</t>
  </si>
  <si>
    <t>UNIDAD RESPONSABLE: INSTITUTO TECNOLÓGICO DE ENSENADA</t>
  </si>
  <si>
    <t xml:space="preserve">FOLIO: </t>
  </si>
  <si>
    <t>NOMBRE</t>
  </si>
  <si>
    <t>CURP</t>
  </si>
  <si>
    <t>FIRMA</t>
  </si>
  <si>
    <t>DATOS DEL SERVIDOR PÚBLICO</t>
  </si>
  <si>
    <t>ÁREA:</t>
  </si>
  <si>
    <t>BIENES ASIGNADOS</t>
  </si>
  <si>
    <t>FECHA DE ELABORACIÓN</t>
  </si>
  <si>
    <r>
      <rPr>
        <b/>
        <sz val="12"/>
        <color theme="1"/>
        <rFont val="Calibri"/>
        <family val="2"/>
        <scheme val="minor"/>
      </rPr>
      <t>TECNOLÓGICO NACIONAL DE MÉXICO</t>
    </r>
    <r>
      <rPr>
        <b/>
        <sz val="11"/>
        <color theme="1"/>
        <rFont val="Calibri"/>
        <family val="2"/>
        <scheme val="minor"/>
      </rPr>
      <t xml:space="preserve">
VALE ÚNICO DE RESGUARDO DE BIENES MUEBLES</t>
    </r>
  </si>
  <si>
    <t>CANTIDAD</t>
  </si>
  <si>
    <t>NO. INVENTARIO</t>
  </si>
  <si>
    <t>NOMBRE DEL BIEN</t>
  </si>
  <si>
    <t>MARCA</t>
  </si>
  <si>
    <t>MODELO</t>
  </si>
  <si>
    <t>SERIE</t>
  </si>
  <si>
    <t>VALOR
(C/IVA)</t>
  </si>
  <si>
    <t>CONTINUACIÓN</t>
  </si>
  <si>
    <t>Datos para vale de resguardo</t>
  </si>
  <si>
    <t>VALOR TOTAL DE BIENES:</t>
  </si>
  <si>
    <t>Pag 2/</t>
  </si>
  <si>
    <t>Pag 3/</t>
  </si>
  <si>
    <t>Pag 4/</t>
  </si>
  <si>
    <t>1.0.0.0.1- COMITÉ DE PLANEACIÓN</t>
  </si>
  <si>
    <t>1.0.0.0.2- COMITÉ DE GESTIÓN TECNOLÓGICA Y VINCULACIÓN</t>
  </si>
  <si>
    <t>1.0.0.0.3- OTROS</t>
  </si>
  <si>
    <t>1.1.0.0.0- SUBDIRECCIÓN DE PLANEACIÓN Y VINCULACIÓN</t>
  </si>
  <si>
    <t>1.1.1.0.0- DEPARTAMENTO DE PLANEACIÓN, PROGRAMACIÓN Y PRESUPUESTACIÓN</t>
  </si>
  <si>
    <t>1.1.1.1.0- OFICINA DE DESARROLLO INSTITUCIONAL</t>
  </si>
  <si>
    <t>1.1.1.2.0- OFICINA DE PROGRAMACIÓN Y EVALUACIÓN PRESUPUESTARIA</t>
  </si>
  <si>
    <t>1.1.1.3.0- OFICINA DE CONSTRUCCIÓN Y EQUIPAMIENTO</t>
  </si>
  <si>
    <t>1.1.2.0.0- DEPARTAMENTO DE GESTIÓN TECNOLÓGICA Y VINCULACIÓN</t>
  </si>
  <si>
    <t>1.1.2.1.0- OFICINA DE PRÁCTICAS Y PROMOCION PROFESIONAL</t>
  </si>
  <si>
    <t>1.1.2.2.0- OFICINA DE SERVICIO SOCIAL Y DESARROLLO COMUNITARIO</t>
  </si>
  <si>
    <t>1.1.2.3.0- OFICINA SERVICIOS EXTERNOS</t>
  </si>
  <si>
    <t xml:space="preserve">1.1.2.4.0- OFICINA DE SERVICIO SOCIAL </t>
  </si>
  <si>
    <t>1.1.3.0.0- DEPARTAMENTO DE COMUNICACIÓN Y DIFUSIÓN</t>
  </si>
  <si>
    <t>1.1.3.1.0- OFICINA DE DIFUSIÓN ESCRITA</t>
  </si>
  <si>
    <t>1.1.3.2.0- OFICINA DE DIFUSIÓN AUDIOVISUAL</t>
  </si>
  <si>
    <t>1.1.3.3.0- OFICINA DE EDITORIAL</t>
  </si>
  <si>
    <t>1.1.4.0.0- DEPARTAMENTO DE ACTIVIDADES EXTRAESCOLARES</t>
  </si>
  <si>
    <t>1.1.4.1.0- OFICINA DE PROMOCIÓN CULTURAL</t>
  </si>
  <si>
    <t>1.1.4.2.0- OFICINA DE PROMOCIÓN DEPORTIVA</t>
  </si>
  <si>
    <t>1.1.5.0.0- DEPARTAMENTO DE SERVICIOS ESCOLARES</t>
  </si>
  <si>
    <t>1.1.5.1.0- OFICINA DE CONTROL ESCOLAR</t>
  </si>
  <si>
    <t>1.1.5.2.0- OFICINA DE SERVICIOS ESTUDIANTILES</t>
  </si>
  <si>
    <t>1.1.6.0.0- CENTRO DE INFORMACIÓN</t>
  </si>
  <si>
    <t>1.1.6.1.0- OFICINA DE ORGANIZACIÓN BIBLIOGRÁFICA</t>
  </si>
  <si>
    <t>1.1.6.2.0- OFICINA DE SERVICIOS A USUARIOS</t>
  </si>
  <si>
    <t>1.1.6.3.0- OFICINA DE SERVICIOS ESPECIALIZADOS</t>
  </si>
  <si>
    <t>1.2.0.0.0- SUBDIRECCIÓN ACADEMICA</t>
  </si>
  <si>
    <t>1.2.0.0.1- COMITÉ ACADÉMICO</t>
  </si>
  <si>
    <t>1.2.1.0.0- DEPARTAMENTO DE CIENCIAS BÁSICAS</t>
  </si>
  <si>
    <t>1.2.2.0.0- DEPARTAMENTO DE ING. INDUSTRIAL</t>
  </si>
  <si>
    <t>1.2.3.0.0- DEPARTAMENTO DE ING. EN SISTEMAS</t>
  </si>
  <si>
    <t>1.2.4.0.0- DEPARTAMENTO DE CEA</t>
  </si>
  <si>
    <t>1.2.5.0.0- DEPARTAMENTO DE DIEE</t>
  </si>
  <si>
    <t>1.2.6.0.0- DEPARTAMENTO DE MECATRÓNICA</t>
  </si>
  <si>
    <t>1.2.7.0.0- DEPARTAMENTO DE DESARROLLO ACADÉMICO</t>
  </si>
  <si>
    <t>1.2.7.1.0- COORDINACIÓN DE INVESTIGACIÓN EDUCATIVA</t>
  </si>
  <si>
    <t>1.2.7.2.0- COORDINACIÓN DE ACTUALIZACIÓN DOCENTE</t>
  </si>
  <si>
    <t>1.2.7.3.0- COORDINACIÓN  DE ORIENTACIÓN EDUCATIVA</t>
  </si>
  <si>
    <t>1.2.7.4.0- COORDINACIÓN DE MÉTODOS Y MEDIOS EDUCATIVOS</t>
  </si>
  <si>
    <t>1.2.8.0.0- DIVISIÓN ESTUDIOS PROFESIONALES</t>
  </si>
  <si>
    <t>1.2.8.1.0- COORDINACIÓN DE EDUCACIÓN A DISTANCIA</t>
  </si>
  <si>
    <t>1.2.8.2.0- COORDINACIÓN DE LIC ADMINISTRACIÓN</t>
  </si>
  <si>
    <t>1.2.8.3.0- COORDINACIÓN DE ING. EN SISTEMAS COMPUTACIONALES</t>
  </si>
  <si>
    <t>1.2.8.4.0- COORDINACIÓN DE ING INDUSTRIAL</t>
  </si>
  <si>
    <t>1.2.8.5.0- COORDINACIÓN DE MECATRÓNICA</t>
  </si>
  <si>
    <t>1.2.8.6.0- COORDINACIÓN DE CARRERA</t>
  </si>
  <si>
    <t>1.2.8.7.0- COORDINACIÓN DE SGA</t>
  </si>
  <si>
    <t>1.2.8.8.0- COORDINACIÓN DE ING. EN GESTIÓN EMPRESARIAL</t>
  </si>
  <si>
    <t>1.2.8.9.0- COORDINACIÓN DE TITULACIÓN</t>
  </si>
  <si>
    <t>1.2.8.10.0-COORDINACIÓN DE LENGUAS EXTRANJERAS</t>
  </si>
  <si>
    <t>1.2.8.11.0-LABORATORIO DE QUÍMICA</t>
  </si>
  <si>
    <t>1.2.8.12.0-LABORATORIO INDUSTRIAL</t>
  </si>
  <si>
    <t>1.2.8.13.0-LABORATORIO DE ELECTROMECÁNICA</t>
  </si>
  <si>
    <t>1.2.8.14.0-SEGURIDAD Y SALUD EN EL TRABAJO</t>
  </si>
  <si>
    <t>1.2.8.15.0-JEFE DE LABORATORIO</t>
  </si>
  <si>
    <t>1.2.8.15.1-AUXILIAR DE LABORATORIO</t>
  </si>
  <si>
    <t>1.2.9.0.0- DIVISIÓN DE ESTUDIOS DE POSGRADO E INVESTIGACIÓN</t>
  </si>
  <si>
    <t>1.2.9.1.0- COORDINACIÓN DE POSGRADO</t>
  </si>
  <si>
    <t>1.2.10.0.0-INVESTIGADOR</t>
  </si>
  <si>
    <t>1.2.11.0.0-JEFE DE PROYECTO DE DOCENCIA</t>
  </si>
  <si>
    <t>1.2.12.0.0-JEFE DE PROYECTO DE INVESTIGACIÓN</t>
  </si>
  <si>
    <t>1.2.13.0.0-JEFE DE PROYECTO DE VINCULACIÓN</t>
  </si>
  <si>
    <t>1.2.13.0.0-PROMOTOR CULTURAL</t>
  </si>
  <si>
    <t>1.2.14.0.0-PROMOTOR DEPORTIVO</t>
  </si>
  <si>
    <t>1.3.0.0.0- SUBDIRECCIÓN DE SERVICIOS ADMINISTATIVOS</t>
  </si>
  <si>
    <t>1.3.1.0.0- DEPARTAMENTO DE RECURSOS HUMANOS</t>
  </si>
  <si>
    <t>1.3.1.1.0- OFICINA DE REGISTRO Y CONTROLES</t>
  </si>
  <si>
    <t>1.3.1.2.0- OFICINA DE SERVICIOS AL PERSONAL</t>
  </si>
  <si>
    <t>1.3.2.0.0- DEPARTAMENTO DE RECURSOS FINANCIEROS</t>
  </si>
  <si>
    <t>1.3.2.1.0- OFICINA DE TESORERÍA</t>
  </si>
  <si>
    <t>1.3.2.2.0- OFICINA DE CONTABILIDAD Y PRESUPUESTO</t>
  </si>
  <si>
    <t>1.3.2.2.1- AUXILIAR CONTABLE</t>
  </si>
  <si>
    <t>1.3.2.3.0- OFICINA DE CONTROL DE INGRESOS PROPIOS</t>
  </si>
  <si>
    <t>1.3.3.0.0- DEPARTAMENTO DE RECUSOS MATERIALES Y SERVICIOS</t>
  </si>
  <si>
    <t>1.3.3.1.0- OFICINA DE ADQUISICIONES</t>
  </si>
  <si>
    <t>1.3.3.2.0- OFICINA DE INVENTARIOS</t>
  </si>
  <si>
    <t>1.3.3.3.0- OFICINA DE SERVICIOS GENERALES</t>
  </si>
  <si>
    <t>1.3.4.0.0- CENTRO DE CÓMPUTO</t>
  </si>
  <si>
    <t>1.3.4.1.0- COORDINACIÓN DE DESARROLLO DE SISTEMAS</t>
  </si>
  <si>
    <t>1.3.4.2.0- COORDINACIÓN DE SERVICIOS DE CÓMPUTO</t>
  </si>
  <si>
    <t>1.3.4.3.0- PROGRAMADOR</t>
  </si>
  <si>
    <t>1.3.5.0.0- DEPARTAMENTO DE MANTENIMIENTO</t>
  </si>
  <si>
    <t>1.3.5.1.0- OFICINA DE MANTENIMIENTO PREVENTIVO</t>
  </si>
  <si>
    <t>1.3.5.2.0- OFICINA DE MANTENIMIENTO CORRECTIVO</t>
  </si>
  <si>
    <t>1.3.5.3.0- TÉCNICO EN MANTENIMIENTO</t>
  </si>
  <si>
    <t>1.3.5.4.0- AUXILIAR DE INTENDENCIA</t>
  </si>
  <si>
    <t>1.3.6.0.0- SECRETARIA DE DIRECTIVO DOCENTE</t>
  </si>
  <si>
    <t>1.3.7.0.0- SECRETARIA DE FUNCIONARIO DOCENTE</t>
  </si>
  <si>
    <t>1.3.8.0.0- AUXILIAR ADMINISTRATIVO</t>
  </si>
  <si>
    <t>1.3.9.0.0- MÉDICO ESCOLAR</t>
  </si>
  <si>
    <t>1.3.10.0.0-DOCENTE</t>
  </si>
  <si>
    <t>1.3.11.0.0-VIGILANTE</t>
  </si>
  <si>
    <t>1.3.12.0.0-CHOFER</t>
  </si>
  <si>
    <t>Pag 1/</t>
  </si>
  <si>
    <t># de inventario</t>
  </si>
  <si>
    <t>Registro de bienes</t>
  </si>
  <si>
    <t>Búsqueda de bienes</t>
  </si>
  <si>
    <t>1.0.0.0.0- DIRECCIÓN</t>
  </si>
  <si>
    <t>OSCAR MARTIN TIRADO OCHOA</t>
  </si>
  <si>
    <t>PC CON MONITOR TECLADO Y MOUSE</t>
  </si>
  <si>
    <t>DELL</t>
  </si>
  <si>
    <t>OPTIPLEX 380</t>
  </si>
  <si>
    <t>N/A</t>
  </si>
  <si>
    <t xml:space="preserve">IMPRESORA </t>
  </si>
  <si>
    <t>HP</t>
  </si>
  <si>
    <t>LASERJET</t>
  </si>
  <si>
    <t>PI606dn</t>
  </si>
  <si>
    <t>ESCRITORIO METALICO DOS CAJONES CUBIERTA COLOR CAFÉ</t>
  </si>
  <si>
    <t>MESA MADERA 152X62 CM COLOR CAFÉ</t>
  </si>
  <si>
    <t>MESA METALICA PARA PC  (121X100X61 CM) DOS NIVELES UN CAJON COLOR GRIS</t>
  </si>
  <si>
    <t>ESTANTE METALICO 4 NIVELES 240X85X62 CM</t>
  </si>
  <si>
    <t>ESTANTE METALICO DOS PUERTAS CON LLAVE 183X92X47 CM</t>
  </si>
  <si>
    <t>SILLA METALICA ASIENTO DE TELA COLOR AZUL</t>
  </si>
  <si>
    <t>SILLA METALICA ASIENTO DE TELA COLOR CAFÉ</t>
  </si>
  <si>
    <t>SILLA METALICA ASIENTO DE VINIL COLOR AZUL</t>
  </si>
  <si>
    <t>SILLA SECRETARIAL CON RUEDAS COLOR NEGRO</t>
  </si>
  <si>
    <t>ESCALERA 6 PELDAÑOS 187 CM</t>
  </si>
  <si>
    <t>PINTARRON BLANCO 60X40 CM</t>
  </si>
  <si>
    <t>PIZARRON DE CORCHO 92X60 CM</t>
  </si>
  <si>
    <t>AIRE ACONDICIONADO SPLIT</t>
  </si>
  <si>
    <t>LG</t>
  </si>
  <si>
    <t>SP121HM</t>
  </si>
  <si>
    <t>OCTAVIO PARRA</t>
  </si>
  <si>
    <t>SILLA METALICA CON ASIENTO DE PLASTICO, COLOR AZUL</t>
  </si>
  <si>
    <t>MESA METALICA, CUBIERTA DE MADERA, COLOR GRIS, 60X120 CM</t>
  </si>
  <si>
    <t>PC CON MONITOR, TECLADO Y MOUSE</t>
  </si>
  <si>
    <t>OPTIPLEX 760</t>
  </si>
  <si>
    <t>PANTALLA PLANA COLOR NEGRO DE 57”</t>
  </si>
  <si>
    <t>55L4400</t>
  </si>
  <si>
    <t>PC TODO EN UNO, TACLADO Y MOUSE, PANTALLA 22”</t>
  </si>
  <si>
    <t>20-r122Ia</t>
  </si>
  <si>
    <t>PINTARRON BLANCO, 240x120 cm</t>
  </si>
  <si>
    <t>PIZARRÓN ELECTRONICO, 155X123 CM</t>
  </si>
  <si>
    <t>AIRE ACONDICIONADO, MINI-SPLIT</t>
  </si>
  <si>
    <t>MIRAGE</t>
  </si>
  <si>
    <t>SMEC1221D</t>
  </si>
  <si>
    <t>SOPORTE UNIVERSAL METALICO, COLOR NEGRO</t>
  </si>
  <si>
    <t>PC CON THINKCENTRE,  MONITOR, TECLADO Y MOUSE</t>
  </si>
  <si>
    <t>LENOVO</t>
  </si>
  <si>
    <t>T2224d</t>
  </si>
  <si>
    <t>55LV3500</t>
  </si>
  <si>
    <t>SMEC2621J</t>
  </si>
  <si>
    <t>PC DE 20”, TECLADO Y MOUSE</t>
  </si>
  <si>
    <t>VOSTRO 220</t>
  </si>
  <si>
    <t>PC TODO EN UNO , MONITOR DE 22”, TECLADO Y MOUSE</t>
  </si>
  <si>
    <t>PC TODO EN UNO CON MONITOR, TECLADO Y MOUSE</t>
  </si>
  <si>
    <t>PRO-1005 AIO</t>
  </si>
  <si>
    <t>MESA PATAS METALICAS, CUBIERTA DE MADERA, COLOR CAFÉ, 120X60CM</t>
  </si>
  <si>
    <t>ROTAFOLIO 80X60 CM</t>
  </si>
  <si>
    <t>ESCRITORIOS METALICOS PARA PC (100 X  60 CM), DOS NIVELES, COLOR GRIS</t>
  </si>
  <si>
    <t>MONITOR</t>
  </si>
  <si>
    <t>LI706</t>
  </si>
  <si>
    <t>CNC636NBC9</t>
  </si>
  <si>
    <t>ESCRITORIO METALICO (120 X 75 CM), 2 CAJONES, COLOR VERDE, CUBIERTA DE FORMICA COLOR CAFE</t>
  </si>
  <si>
    <t>SILLAS DE VISITA COLOR NEGRA DE TELA</t>
  </si>
  <si>
    <t>SILLA DE VISITA COLOR GUINDA DE TELA</t>
  </si>
  <si>
    <t xml:space="preserve">ARCHIVERO METALICO COLOR CAFÉ CLARO (133X65X47CM), 4 GAVETAS </t>
  </si>
  <si>
    <t>ARCHIVERO METALICO COLOR ARENA (133 X 65 X 47CM), 4 GAVETAS</t>
  </si>
  <si>
    <t>ARCHIVERO METALICO COLOR DURAZNO (149 X 72 X 46CM), 5 GAVETAS</t>
  </si>
  <si>
    <t>ESTANTE DE MADERA (245 X 12CM), 16 SECCIONES</t>
  </si>
  <si>
    <t>202TANS01887</t>
  </si>
  <si>
    <t>PIZARRON (90 X 60 CM) MITAD CORCHO, MITAD PIZZARÓN</t>
  </si>
  <si>
    <t>IMPRESORA</t>
  </si>
  <si>
    <t>PHOTOSMART PREMIUM</t>
  </si>
  <si>
    <t>CC334640001</t>
  </si>
  <si>
    <t>COLOR LASERJET CP1215</t>
  </si>
  <si>
    <t>CNAC85C01M</t>
  </si>
  <si>
    <t>TELEFONO INALAMBRICO</t>
  </si>
  <si>
    <t>ALCATEL VERSATS</t>
  </si>
  <si>
    <t>F200MX</t>
  </si>
  <si>
    <t>SMART UPS</t>
  </si>
  <si>
    <t>APC</t>
  </si>
  <si>
    <t>AAS1143122173</t>
  </si>
  <si>
    <t>ROUTERBOARD</t>
  </si>
  <si>
    <t>MIKROTIC</t>
  </si>
  <si>
    <t>CLOUD CORE</t>
  </si>
  <si>
    <t>D83B0D48F0EA/104/r3</t>
  </si>
  <si>
    <t>SWITCH</t>
  </si>
  <si>
    <t>CISCO</t>
  </si>
  <si>
    <t>CMMLR00ARE</t>
  </si>
  <si>
    <t>FOC2003S4H9</t>
  </si>
  <si>
    <t>PUNTO DE ACCESO</t>
  </si>
  <si>
    <t>HUAWEI</t>
  </si>
  <si>
    <t>H87Z567533</t>
  </si>
  <si>
    <t xml:space="preserve">PUNTO DE ACCESO </t>
  </si>
  <si>
    <t>REGULADOR</t>
  </si>
  <si>
    <t>SMARTBITT</t>
  </si>
  <si>
    <t>750 VA</t>
  </si>
  <si>
    <t>221807506678</t>
  </si>
  <si>
    <t xml:space="preserve">CIRCUITO CERRADO CCTV </t>
  </si>
  <si>
    <t>EPCON</t>
  </si>
  <si>
    <t>OPTIPLEX 390</t>
  </si>
  <si>
    <t>PC TODO EN UNO (21.5”), TECLADO Y MOUSE</t>
  </si>
  <si>
    <t>ACER</t>
  </si>
  <si>
    <t>ASPIRE Z1-621</t>
  </si>
  <si>
    <t>DQ8Y4AL0034300BF16900</t>
  </si>
  <si>
    <t>INSPIRON</t>
  </si>
  <si>
    <t>RICARDO CASTRO MÉNDEZ</t>
  </si>
  <si>
    <t>ESCRITORIO METALICO, DOS CAJONES, CUBIERTA COLOR CAFE</t>
  </si>
  <si>
    <t>MESA DE MADERA, 152X62 CM, COLOR CAFÉ</t>
  </si>
  <si>
    <t>MESA METALICA PARA PC (121X100X61 CM), 2 NIVELES,  , UN CAJON, COLOR GRIS</t>
  </si>
  <si>
    <t>ESTANTE METALICO, 4 NIVELES, 240X85X62 CM</t>
  </si>
  <si>
    <t>ESTANTE METALICO, DOS PUERTAS CON LLAVE, 183X92X47 CM</t>
  </si>
  <si>
    <t>SILLA METALICA, ASIENTO DE TELA, COLOR AZUL</t>
  </si>
  <si>
    <t>SILLA METALICA, ASIENTO DE TELA, COLOR CAFE</t>
  </si>
  <si>
    <t>SILLA METALICA, ASIENTO DE VINYL, COLOR AZUL</t>
  </si>
  <si>
    <t>SILLA SECRETARIAL CON RUEDAS, COLOR NEGRO</t>
  </si>
  <si>
    <t>ESCALERA, 6 PELDAÑOS, 187 CM</t>
  </si>
  <si>
    <t>ESCRITORIO METALICO CON RECUBRIMIENTO DE MADERA</t>
  </si>
  <si>
    <t>SAMUEL DE JESUS HIDALGO ORELLANA</t>
  </si>
  <si>
    <t xml:space="preserve">CARMEN LETICIA  COTA SALGADO </t>
  </si>
  <si>
    <t>MESA METALICA PARA PC  DE DOS ENTREPAÑOS COLOR GRIS</t>
  </si>
  <si>
    <t xml:space="preserve">SILLA METALICA COLOR DORADO  FORRO AZUL </t>
  </si>
  <si>
    <t xml:space="preserve">COMPUTADORA </t>
  </si>
  <si>
    <t>PIZARRON MITAD CORCHO Y BLANCO 90X80</t>
  </si>
  <si>
    <t>HERCTOR FERNANDO MONASTERIO</t>
  </si>
  <si>
    <t>JOSE SOLIS GIL</t>
  </si>
  <si>
    <t>MESA DE TRABAJO METALICACUBIERTA MADERA COLOR BLANCA  BASE COLOR CREMA</t>
  </si>
  <si>
    <t>1.2.8.13.0-0000000130</t>
  </si>
  <si>
    <t>1.2.8.13.0-0000000131</t>
  </si>
  <si>
    <t>1.2.8.13.0-0000000132</t>
  </si>
  <si>
    <t>ESCRITORIO DE MADERA COLOR BLANCO CON NEGRO</t>
  </si>
  <si>
    <t>SILLA METALICA NEGRA CON RECUBRIMIENTO DE MADERA</t>
  </si>
  <si>
    <t>BANCO NEGRO CON RECUBRIMIENTO DE MADERA</t>
  </si>
  <si>
    <t>ARCHIVERO METALICO COLOR ARENA</t>
  </si>
  <si>
    <t xml:space="preserve">TELEVISION PLANA </t>
  </si>
  <si>
    <t>PHILIPS</t>
  </si>
  <si>
    <t>55PFL3907/F8</t>
  </si>
  <si>
    <t>XA1A1238103414</t>
  </si>
  <si>
    <t>PIZARRON BLANCO 220X120</t>
  </si>
  <si>
    <t>PIZARRON BLANCO CON SECCION ELECTRONICA 160X120</t>
  </si>
  <si>
    <t>Pag 5/5</t>
  </si>
  <si>
    <t>MESA DE TRABAJO METALICA CUBIERTA MADERA COLOR BLANCA  BASE COLOR NEGRO</t>
  </si>
  <si>
    <t>MESA DE TRABAJO METALICA CUBIERTA MADERA COLOR CAFE  BASE COLOR NEGRO</t>
  </si>
  <si>
    <t>ESTANTE METALICO COLOR ARENA</t>
  </si>
  <si>
    <t>ESTANTE METALICO COLOR GRIS 5 NIVELES</t>
  </si>
  <si>
    <t>ESTANTE  MADERA COLOR BLANCO 3 NIVELES</t>
  </si>
  <si>
    <t>PIZARRON BLANCO 260X120</t>
  </si>
  <si>
    <t>PIZARRON BLANCO 200X120</t>
  </si>
  <si>
    <t>PIZARRON DE CORCHO  140X120</t>
  </si>
  <si>
    <t>ESCALERA METALICA 50CM</t>
  </si>
  <si>
    <t>SILLA METALICA NEGRA CON RECUBRIMIENTO PLASTICO NEGRO</t>
  </si>
  <si>
    <t>ESTANTE METALICO COLOR ARENA 4 NIVELES</t>
  </si>
  <si>
    <t>ESTANTE METALICO COLOR ARENA 3 NIVELES CON RECUBRIMIENTO MADERA</t>
  </si>
  <si>
    <t>PIZARRON BLANCO 140X120</t>
  </si>
  <si>
    <t>SILLA METALICA  CON RECUBRIMIENTO PLASTICO AZUL</t>
  </si>
  <si>
    <t>ESCRITORIO METALICO GRIS RECUBRIMIENTO MADERA</t>
  </si>
  <si>
    <t>ESCRITORIO METALICO NEGRO RECUBRIMIENTO MADERA COLOR ARENA</t>
  </si>
  <si>
    <t>COMPUTADORA DOS MONITORES DELL</t>
  </si>
  <si>
    <t>ESTANTE METALICO COLOR CAFÉ CLARO</t>
  </si>
  <si>
    <t>MESABANCO METALICO GRIS RECUBRIMIENTO MADERA</t>
  </si>
  <si>
    <t>TELEVISION PLANA LG</t>
  </si>
  <si>
    <t>SILLA METALICA COLOR DORADO FORRO TELA CAFÉ</t>
  </si>
  <si>
    <t>SILLA METALICA GRIS RECUBRIMIENTO PLASTICO AZUL</t>
  </si>
  <si>
    <t>COMPUTADORA HP</t>
  </si>
  <si>
    <t>COMPUTADORA DELL</t>
  </si>
  <si>
    <t>MESABANCO METALICO RECUBRIMIENTO MADERA SILLA VERDE</t>
  </si>
  <si>
    <t>PIZARRON DE CORCHO 120CM</t>
  </si>
  <si>
    <t>GABINETE CONTRA INCENDIOS ROJO 2 NIVELES</t>
  </si>
  <si>
    <t>SILLA MULTIPLE DE 6 LUGARES EN BASE MADERA RECUBRIMIENTO TELA</t>
  </si>
  <si>
    <t xml:space="preserve">VITRINA PARA AVISOS 200X120 CM NEGRA </t>
  </si>
  <si>
    <t>VITRINA PARA AVISOS 120X120 CM GRIS</t>
  </si>
  <si>
    <t>HECTOR FERNANDO MONASTERIO</t>
  </si>
  <si>
    <t xml:space="preserve">CARMEN LETICIA COTA SALGADO </t>
  </si>
  <si>
    <t>Bienes propios del trabajador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</si>
</sst>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&quot;$&quot;#,##0.00"/>
    <numFmt numFmtId="166" formatCode="m/d/yyyy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scheme val="minor"/>
    </font>
    <font>
      <sz val="8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/>
    <xf numFmtId="0" fontId="0" fillId="0" borderId="0" xfId="0" applyBorder="1"/>
    <xf numFmtId="0" fontId="1" fillId="2" borderId="0" xfId="0" applyFont="1" applyFill="1"/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0" borderId="0" xfId="0" applyFont="1"/>
    <xf numFmtId="0" fontId="0" fillId="5" borderId="0" xfId="0" applyFont="1" applyFill="1" applyAlignment="1" applyProtection="1">
      <alignment vertical="center"/>
      <protection locked="0"/>
    </xf>
    <xf numFmtId="164" fontId="0" fillId="5" borderId="0" xfId="0" applyNumberFormat="1" applyFont="1" applyFill="1" applyAlignment="1" applyProtection="1">
      <alignment vertical="center"/>
      <protection locked="0"/>
    </xf>
    <xf numFmtId="14" fontId="0" fillId="5" borderId="0" xfId="0" applyNumberFormat="1" applyFont="1" applyFill="1" applyAlignment="1" applyProtection="1">
      <alignment vertical="center"/>
      <protection locked="0"/>
    </xf>
    <xf numFmtId="0" fontId="1" fillId="0" borderId="0" xfId="0" applyFont="1" applyFill="1" applyAlignment="1">
      <alignment vertic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7" fillId="0" borderId="0" xfId="0" applyFont="1" applyFill="1" applyAlignment="1">
      <alignment vertical="center"/>
    </xf>
    <xf numFmtId="14" fontId="7" fillId="0" borderId="0" xfId="0" applyNumberFormat="1" applyFont="1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165" fontId="7" fillId="0" borderId="0" xfId="0" applyNumberFormat="1" applyFont="1" applyFill="1" applyAlignment="1">
      <alignment horizontal="right" vertical="center"/>
    </xf>
    <xf numFmtId="0" fontId="5" fillId="6" borderId="0" xfId="0" applyFont="1" applyFill="1" applyAlignment="1">
      <alignment horizontal="left"/>
    </xf>
    <xf numFmtId="0" fontId="0" fillId="6" borderId="0" xfId="0" applyFill="1"/>
    <xf numFmtId="0" fontId="1" fillId="6" borderId="0" xfId="0" applyFont="1" applyFill="1" applyAlignment="1">
      <alignment horizontal="right"/>
    </xf>
    <xf numFmtId="0" fontId="0" fillId="6" borderId="1" xfId="0" applyFill="1" applyBorder="1"/>
    <xf numFmtId="0" fontId="0" fillId="6" borderId="0" xfId="0" applyFill="1" applyAlignment="1">
      <alignment horizontal="right"/>
    </xf>
    <xf numFmtId="14" fontId="0" fillId="6" borderId="1" xfId="0" applyNumberFormat="1" applyFill="1" applyBorder="1"/>
    <xf numFmtId="0" fontId="0" fillId="6" borderId="0" xfId="0" applyFill="1" applyAlignment="1">
      <alignment horizontal="left"/>
    </xf>
    <xf numFmtId="164" fontId="0" fillId="6" borderId="1" xfId="0" applyNumberFormat="1" applyFill="1" applyBorder="1"/>
    <xf numFmtId="0" fontId="0" fillId="0" borderId="0" xfId="0" applyAlignment="1">
      <alignment horizontal="center"/>
    </xf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165" fontId="6" fillId="0" borderId="0" xfId="0" applyNumberFormat="1" applyFont="1" applyFill="1" applyAlignment="1">
      <alignment horizontal="right" vertical="center"/>
    </xf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14" fontId="0" fillId="0" borderId="0" xfId="0" applyNumberFormat="1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5" borderId="0" xfId="0" applyFill="1" applyBorder="1" applyAlignment="1" applyProtection="1">
      <alignment horizontal="left" vertical="center"/>
    </xf>
    <xf numFmtId="49" fontId="3" fillId="5" borderId="0" xfId="0" applyNumberFormat="1" applyFont="1" applyFill="1" applyBorder="1" applyAlignment="1" applyProtection="1">
      <alignment horizontal="left" vertical="center"/>
      <protection locked="0"/>
    </xf>
    <xf numFmtId="0" fontId="0" fillId="5" borderId="0" xfId="0" applyFont="1" applyFill="1" applyBorder="1" applyAlignment="1" applyProtection="1">
      <alignment vertical="center"/>
      <protection locked="0"/>
    </xf>
    <xf numFmtId="0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6" fillId="0" borderId="0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0" fillId="0" borderId="0" xfId="0" applyAlignment="1"/>
    <xf numFmtId="0" fontId="6" fillId="0" borderId="0" xfId="0" applyFont="1" applyBorder="1" applyAlignment="1">
      <alignment horizontal="right" vertical="center"/>
    </xf>
    <xf numFmtId="165" fontId="6" fillId="0" borderId="0" xfId="0" applyNumberFormat="1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65" fontId="6" fillId="0" borderId="1" xfId="0" applyNumberFormat="1" applyFont="1" applyBorder="1" applyAlignment="1">
      <alignment horizontal="right" vertical="center"/>
    </xf>
    <xf numFmtId="0" fontId="7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11" fillId="0" borderId="0" xfId="0" applyFont="1" applyFill="1" applyAlignment="1">
      <alignment vertical="center"/>
    </xf>
    <xf numFmtId="14" fontId="11" fillId="0" borderId="0" xfId="0" applyNumberFormat="1" applyFont="1" applyFill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left" vertical="center"/>
    </xf>
    <xf numFmtId="165" fontId="11" fillId="0" borderId="0" xfId="0" applyNumberFormat="1" applyFont="1" applyFill="1" applyAlignment="1">
      <alignment horizontal="right" vertical="center"/>
    </xf>
    <xf numFmtId="49" fontId="0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" fillId="6" borderId="0" xfId="0" applyFont="1" applyFill="1"/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0" xfId="0" applyFill="1" applyBorder="1"/>
    <xf numFmtId="166" fontId="11" fillId="0" borderId="0" xfId="0" applyNumberFormat="1" applyFont="1" applyFill="1" applyAlignment="1">
      <alignment vertical="center"/>
    </xf>
    <xf numFmtId="166" fontId="0" fillId="0" borderId="0" xfId="0" applyNumberFormat="1" applyFont="1" applyFill="1" applyAlignment="1">
      <alignment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vertical="center"/>
      <protection locked="0"/>
    </xf>
    <xf numFmtId="166" fontId="6" fillId="0" borderId="0" xfId="0" applyNumberFormat="1" applyFont="1" applyFill="1" applyAlignment="1">
      <alignment vertical="center"/>
    </xf>
    <xf numFmtId="1" fontId="0" fillId="6" borderId="1" xfId="0" applyNumberFormat="1" applyFill="1" applyBorder="1"/>
    <xf numFmtId="1" fontId="0" fillId="0" borderId="0" xfId="0" applyNumberFormat="1" applyFont="1" applyFill="1" applyAlignment="1" applyProtection="1">
      <alignment horizontal="center" vertical="center"/>
      <protection locked="0"/>
    </xf>
    <xf numFmtId="1" fontId="0" fillId="5" borderId="0" xfId="0" applyNumberFormat="1" applyFont="1" applyFill="1" applyAlignment="1" applyProtection="1">
      <alignment horizontal="center" vertical="center"/>
      <protection locked="0"/>
    </xf>
    <xf numFmtId="1" fontId="6" fillId="0" borderId="0" xfId="0" applyNumberFormat="1" applyFont="1" applyFill="1" applyAlignment="1">
      <alignment horizontal="center" vertical="center"/>
    </xf>
    <xf numFmtId="1" fontId="11" fillId="0" borderId="0" xfId="0" applyNumberFormat="1" applyFont="1" applyFill="1" applyAlignment="1">
      <alignment horizontal="center" vertical="center"/>
    </xf>
    <xf numFmtId="1" fontId="7" fillId="0" borderId="0" xfId="0" applyNumberFormat="1" applyFont="1" applyFill="1" applyAlignment="1">
      <alignment horizontal="center" vertical="center"/>
    </xf>
    <xf numFmtId="14" fontId="0" fillId="0" borderId="0" xfId="0" applyNumberFormat="1" applyFont="1" applyFill="1" applyAlignment="1" applyProtection="1">
      <alignment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>
      <alignment vertical="center"/>
    </xf>
    <xf numFmtId="165" fontId="6" fillId="0" borderId="6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65" fontId="6" fillId="0" borderId="3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 wrapText="1"/>
    </xf>
    <xf numFmtId="0" fontId="9" fillId="0" borderId="1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4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</font>
      <numFmt numFmtId="19" formatCode="dd/mm/yyyy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</font>
      <numFmt numFmtId="16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color auto="1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848118</xdr:colOff>
      <xdr:row>7</xdr:row>
      <xdr:rowOff>158750</xdr:rowOff>
    </xdr:from>
    <xdr:to>
      <xdr:col>7</xdr:col>
      <xdr:colOff>2288118</xdr:colOff>
      <xdr:row>10</xdr:row>
      <xdr:rowOff>93234</xdr:rowOff>
    </xdr:to>
    <xdr:sp macro="[0]!Limpiar_registro" textlink="">
      <xdr:nvSpPr>
        <xdr:cNvPr id="3" name="Rectángulo 2"/>
        <xdr:cNvSpPr/>
      </xdr:nvSpPr>
      <xdr:spPr>
        <a:xfrm>
          <a:off x="8487962" y="1587500"/>
          <a:ext cx="1440000" cy="500031"/>
        </a:xfrm>
        <a:prstGeom prst="rect">
          <a:avLst/>
        </a:prstGeom>
        <a:solidFill>
          <a:srgbClr val="FFFF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7</xdr:col>
      <xdr:colOff>2802725</xdr:colOff>
      <xdr:row>7</xdr:row>
      <xdr:rowOff>164704</xdr:rowOff>
    </xdr:from>
    <xdr:to>
      <xdr:col>7</xdr:col>
      <xdr:colOff>4242725</xdr:colOff>
      <xdr:row>10</xdr:row>
      <xdr:rowOff>97204</xdr:rowOff>
    </xdr:to>
    <xdr:sp macro="[0]!Registrar_articulo_y_VR" textlink="">
      <xdr:nvSpPr>
        <xdr:cNvPr id="8" name="Rectángulo 7"/>
        <xdr:cNvSpPr/>
      </xdr:nvSpPr>
      <xdr:spPr>
        <a:xfrm>
          <a:off x="10442569" y="1593454"/>
          <a:ext cx="1440000" cy="49804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solidFill>
                <a:schemeClr val="tx1"/>
              </a:solidFill>
            </a:rPr>
            <a:t>Registrar</a:t>
          </a:r>
        </a:p>
      </xdr:txBody>
    </xdr:sp>
    <xdr:clientData/>
  </xdr:twoCellAnchor>
  <xdr:twoCellAnchor>
    <xdr:from>
      <xdr:col>1</xdr:col>
      <xdr:colOff>39685</xdr:colOff>
      <xdr:row>6</xdr:row>
      <xdr:rowOff>138905</xdr:rowOff>
    </xdr:from>
    <xdr:to>
      <xdr:col>3</xdr:col>
      <xdr:colOff>9922</xdr:colOff>
      <xdr:row>10</xdr:row>
      <xdr:rowOff>59530</xdr:rowOff>
    </xdr:to>
    <xdr:grpSp>
      <xdr:nvGrpSpPr>
        <xdr:cNvPr id="6" name="Grupo 5"/>
        <xdr:cNvGrpSpPr/>
      </xdr:nvGrpSpPr>
      <xdr:grpSpPr>
        <a:xfrm>
          <a:off x="218279" y="1379139"/>
          <a:ext cx="2788049" cy="674688"/>
          <a:chOff x="238123" y="1478359"/>
          <a:chExt cx="2788049" cy="674688"/>
        </a:xfrm>
      </xdr:grpSpPr>
      <xdr:sp macro="" textlink="">
        <xdr:nvSpPr>
          <xdr:cNvPr id="2" name="CuadroTexto 1"/>
          <xdr:cNvSpPr txBox="1"/>
        </xdr:nvSpPr>
        <xdr:spPr>
          <a:xfrm>
            <a:off x="238123" y="1478359"/>
            <a:ext cx="2788049" cy="674688"/>
          </a:xfrm>
          <a:prstGeom prst="rect">
            <a:avLst/>
          </a:prstGeom>
          <a:solidFill>
            <a:srgbClr val="FF33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s-MX" sz="1100"/>
              <a:t>NOTA: Una</a:t>
            </a:r>
            <a:r>
              <a:rPr lang="es-MX" sz="1100" baseline="0"/>
              <a:t> vez terminado el registro recordar guardar el libro para finalizar sesión.</a:t>
            </a:r>
            <a:endParaRPr lang="es-MX" sz="1100"/>
          </a:p>
        </xdr:txBody>
      </xdr:sp>
      <xdr:pic>
        <xdr:nvPicPr>
          <xdr:cNvPr id="7" name="Imagen 6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00313" y="1746251"/>
            <a:ext cx="290421" cy="288000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  <a:effectLst>
            <a:outerShdw blurRad="50800" dist="38100" dir="2700000" algn="tl" rotWithShape="0">
              <a:srgbClr val="000000">
                <a:alpha val="43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257972</xdr:colOff>
      <xdr:row>1</xdr:row>
      <xdr:rowOff>128986</xdr:rowOff>
    </xdr:from>
    <xdr:to>
      <xdr:col>2</xdr:col>
      <xdr:colOff>281453</xdr:colOff>
      <xdr:row>6</xdr:row>
      <xdr:rowOff>50408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66" y="426642"/>
          <a:ext cx="1462153" cy="864000"/>
        </a:xfrm>
        <a:prstGeom prst="rect">
          <a:avLst/>
        </a:prstGeom>
      </xdr:spPr>
    </xdr:pic>
    <xdr:clientData/>
  </xdr:twoCellAnchor>
  <xdr:twoCellAnchor editAs="oneCell">
    <xdr:from>
      <xdr:col>2</xdr:col>
      <xdr:colOff>565543</xdr:colOff>
      <xdr:row>1</xdr:row>
      <xdr:rowOff>158749</xdr:rowOff>
    </xdr:from>
    <xdr:to>
      <xdr:col>2</xdr:col>
      <xdr:colOff>1224341</xdr:colOff>
      <xdr:row>5</xdr:row>
      <xdr:rowOff>95886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0777" y="456405"/>
          <a:ext cx="658798" cy="69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600074</xdr:colOff>
      <xdr:row>12</xdr:row>
      <xdr:rowOff>38100</xdr:rowOff>
    </xdr:from>
    <xdr:to>
      <xdr:col>3</xdr:col>
      <xdr:colOff>420824</xdr:colOff>
      <xdr:row>13</xdr:row>
      <xdr:rowOff>171450</xdr:rowOff>
    </xdr:to>
    <xdr:sp macro="[0]!Limpiar_busqueda" textlink="">
      <xdr:nvSpPr>
        <xdr:cNvPr id="2" name="Rectángulo 1"/>
        <xdr:cNvSpPr/>
      </xdr:nvSpPr>
      <xdr:spPr>
        <a:xfrm>
          <a:off x="2285999" y="2428875"/>
          <a:ext cx="1440000" cy="323850"/>
        </a:xfrm>
        <a:prstGeom prst="rect">
          <a:avLst/>
        </a:prstGeom>
        <a:solidFill>
          <a:srgbClr val="FFFF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4</xdr:col>
      <xdr:colOff>2285999</xdr:colOff>
      <xdr:row>12</xdr:row>
      <xdr:rowOff>28575</xdr:rowOff>
    </xdr:from>
    <xdr:to>
      <xdr:col>6</xdr:col>
      <xdr:colOff>742950</xdr:colOff>
      <xdr:row>13</xdr:row>
      <xdr:rowOff>162075</xdr:rowOff>
    </xdr:to>
    <xdr:sp macro="[0]!Busqueda_general" textlink="">
      <xdr:nvSpPr>
        <xdr:cNvPr id="8" name="Rectángulo 7"/>
        <xdr:cNvSpPr/>
      </xdr:nvSpPr>
      <xdr:spPr>
        <a:xfrm>
          <a:off x="6867524" y="2419350"/>
          <a:ext cx="2781301" cy="324000"/>
        </a:xfrm>
        <a:prstGeom prst="rect">
          <a:avLst/>
        </a:prstGeom>
        <a:solidFill>
          <a:srgbClr val="92D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>
              <a:solidFill>
                <a:schemeClr val="tx1"/>
              </a:solidFill>
            </a:rPr>
            <a:t>Busqueda general</a:t>
          </a:r>
        </a:p>
      </xdr:txBody>
    </xdr:sp>
    <xdr:clientData/>
  </xdr:twoCellAnchor>
  <xdr:twoCellAnchor>
    <xdr:from>
      <xdr:col>3</xdr:col>
      <xdr:colOff>952500</xdr:colOff>
      <xdr:row>12</xdr:row>
      <xdr:rowOff>28575</xdr:rowOff>
    </xdr:from>
    <xdr:to>
      <xdr:col>4</xdr:col>
      <xdr:colOff>1728150</xdr:colOff>
      <xdr:row>13</xdr:row>
      <xdr:rowOff>161925</xdr:rowOff>
    </xdr:to>
    <xdr:sp macro="[0]!Buscar_código" textlink="">
      <xdr:nvSpPr>
        <xdr:cNvPr id="10" name="Rectángulo 9"/>
        <xdr:cNvSpPr/>
      </xdr:nvSpPr>
      <xdr:spPr>
        <a:xfrm>
          <a:off x="4257675" y="2419350"/>
          <a:ext cx="2052000" cy="32385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 b="0">
              <a:solidFill>
                <a:schemeClr val="tx1"/>
              </a:solidFill>
            </a:rPr>
            <a:t>Buscar # de inventario </a:t>
          </a:r>
        </a:p>
      </xdr:txBody>
    </xdr:sp>
    <xdr:clientData/>
  </xdr:twoCellAnchor>
  <xdr:twoCellAnchor editAs="oneCell">
    <xdr:from>
      <xdr:col>1</xdr:col>
      <xdr:colOff>9533</xdr:colOff>
      <xdr:row>10</xdr:row>
      <xdr:rowOff>47625</xdr:rowOff>
    </xdr:from>
    <xdr:to>
      <xdr:col>2</xdr:col>
      <xdr:colOff>33411</xdr:colOff>
      <xdr:row>14</xdr:row>
      <xdr:rowOff>149625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83" y="2057400"/>
          <a:ext cx="1462153" cy="86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57151</xdr:colOff>
      <xdr:row>10</xdr:row>
      <xdr:rowOff>57149</xdr:rowOff>
    </xdr:from>
    <xdr:to>
      <xdr:col>7</xdr:col>
      <xdr:colOff>715948</xdr:colOff>
      <xdr:row>13</xdr:row>
      <xdr:rowOff>176849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51" y="2066924"/>
          <a:ext cx="658797" cy="691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1788588</xdr:colOff>
      <xdr:row>0</xdr:row>
      <xdr:rowOff>158752</xdr:rowOff>
    </xdr:from>
    <xdr:to>
      <xdr:col>4</xdr:col>
      <xdr:colOff>191882</xdr:colOff>
      <xdr:row>2</xdr:row>
      <xdr:rowOff>317835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421" y="158752"/>
          <a:ext cx="1218461" cy="720000"/>
        </a:xfrm>
        <a:prstGeom prst="rect">
          <a:avLst/>
        </a:prstGeom>
      </xdr:spPr>
    </xdr:pic>
    <xdr:clientData/>
  </xdr:twoCellAnchor>
  <xdr:twoCellAnchor>
    <xdr:from>
      <xdr:col>5</xdr:col>
      <xdr:colOff>1039284</xdr:colOff>
      <xdr:row>1</xdr:row>
      <xdr:rowOff>56091</xdr:rowOff>
    </xdr:from>
    <xdr:to>
      <xdr:col>6</xdr:col>
      <xdr:colOff>1233609</xdr:colOff>
      <xdr:row>2</xdr:row>
      <xdr:rowOff>94191</xdr:rowOff>
    </xdr:to>
    <xdr:sp macro="[0]!Limpiar_datosVR" textlink="">
      <xdr:nvSpPr>
        <xdr:cNvPr id="2" name="Rectángulo 1"/>
        <xdr:cNvSpPr/>
      </xdr:nvSpPr>
      <xdr:spPr>
        <a:xfrm>
          <a:off x="6024034" y="246591"/>
          <a:ext cx="1400825" cy="334433"/>
        </a:xfrm>
        <a:prstGeom prst="rect">
          <a:avLst/>
        </a:prstGeom>
        <a:solidFill>
          <a:srgbClr val="FFFF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 editAs="oneCell">
    <xdr:from>
      <xdr:col>4</xdr:col>
      <xdr:colOff>486834</xdr:colOff>
      <xdr:row>0</xdr:row>
      <xdr:rowOff>148165</xdr:rowOff>
    </xdr:from>
    <xdr:to>
      <xdr:col>5</xdr:col>
      <xdr:colOff>605884</xdr:colOff>
      <xdr:row>2</xdr:row>
      <xdr:rowOff>278448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834" y="148165"/>
          <a:ext cx="658800" cy="691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64325</xdr:colOff>
      <xdr:row>5</xdr:row>
      <xdr:rowOff>148828</xdr:rowOff>
    </xdr:from>
    <xdr:to>
      <xdr:col>15</xdr:col>
      <xdr:colOff>643694</xdr:colOff>
      <xdr:row>8</xdr:row>
      <xdr:rowOff>188515</xdr:rowOff>
    </xdr:to>
    <xdr:sp macro="[0]!Generar_VR_01a05" textlink="">
      <xdr:nvSpPr>
        <xdr:cNvPr id="3" name="Rectángulo 2"/>
        <xdr:cNvSpPr/>
      </xdr:nvSpPr>
      <xdr:spPr>
        <a:xfrm>
          <a:off x="8795575" y="1279922"/>
          <a:ext cx="1402885" cy="6052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aseline="0">
              <a:solidFill>
                <a:schemeClr val="tx1"/>
              </a:solidFill>
            </a:rPr>
            <a:t>Generar VR max 5 bienes</a:t>
          </a:r>
          <a:endParaRPr lang="es-MX" sz="16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65106</xdr:colOff>
      <xdr:row>3</xdr:row>
      <xdr:rowOff>30546</xdr:rowOff>
    </xdr:from>
    <xdr:to>
      <xdr:col>15</xdr:col>
      <xdr:colOff>644475</xdr:colOff>
      <xdr:row>4</xdr:row>
      <xdr:rowOff>171281</xdr:rowOff>
    </xdr:to>
    <xdr:sp macro="[0]!Limpiar_VR" textlink="">
      <xdr:nvSpPr>
        <xdr:cNvPr id="4" name="Rectángulo 3"/>
        <xdr:cNvSpPr/>
      </xdr:nvSpPr>
      <xdr:spPr>
        <a:xfrm>
          <a:off x="8796356" y="784609"/>
          <a:ext cx="1402885" cy="329250"/>
        </a:xfrm>
        <a:prstGeom prst="rect">
          <a:avLst/>
        </a:prstGeom>
        <a:solidFill>
          <a:srgbClr val="FFFF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>
              <a:solidFill>
                <a:schemeClr val="tx1"/>
              </a:solidFill>
            </a:rPr>
            <a:t>Limpiar VR</a:t>
          </a:r>
        </a:p>
      </xdr:txBody>
    </xdr:sp>
    <xdr:clientData/>
  </xdr:twoCellAnchor>
  <xdr:twoCellAnchor>
    <xdr:from>
      <xdr:col>14</xdr:col>
      <xdr:colOff>44481</xdr:colOff>
      <xdr:row>14</xdr:row>
      <xdr:rowOff>315304</xdr:rowOff>
    </xdr:from>
    <xdr:to>
      <xdr:col>15</xdr:col>
      <xdr:colOff>623850</xdr:colOff>
      <xdr:row>15</xdr:row>
      <xdr:rowOff>285104</xdr:rowOff>
    </xdr:to>
    <xdr:sp macro="[0]!Generar_VR_18a23" textlink="">
      <xdr:nvSpPr>
        <xdr:cNvPr id="6" name="Rectángulo 5"/>
        <xdr:cNvSpPr/>
      </xdr:nvSpPr>
      <xdr:spPr>
        <a:xfrm>
          <a:off x="8775731" y="3410929"/>
          <a:ext cx="1402885" cy="6048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aseline="0">
              <a:solidFill>
                <a:schemeClr val="tx1"/>
              </a:solidFill>
            </a:rPr>
            <a:t>Generar VR  max 23 bienes</a:t>
          </a:r>
          <a:endParaRPr lang="es-MX" sz="16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54402</xdr:colOff>
      <xdr:row>9</xdr:row>
      <xdr:rowOff>57549</xdr:rowOff>
    </xdr:from>
    <xdr:to>
      <xdr:col>15</xdr:col>
      <xdr:colOff>633771</xdr:colOff>
      <xdr:row>11</xdr:row>
      <xdr:rowOff>146412</xdr:rowOff>
    </xdr:to>
    <xdr:sp macro="[0]!Generar_VR_06a11" textlink="">
      <xdr:nvSpPr>
        <xdr:cNvPr id="7" name="Rectángulo 6"/>
        <xdr:cNvSpPr/>
      </xdr:nvSpPr>
      <xdr:spPr>
        <a:xfrm>
          <a:off x="8785652" y="1972471"/>
          <a:ext cx="1402885" cy="6048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aseline="0">
              <a:solidFill>
                <a:schemeClr val="tx1"/>
              </a:solidFill>
            </a:rPr>
            <a:t>Generar VR max 11 bienes</a:t>
          </a:r>
          <a:endParaRPr lang="es-MX" sz="16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44480</xdr:colOff>
      <xdr:row>12</xdr:row>
      <xdr:rowOff>75471</xdr:rowOff>
    </xdr:from>
    <xdr:to>
      <xdr:col>15</xdr:col>
      <xdr:colOff>623849</xdr:colOff>
      <xdr:row>14</xdr:row>
      <xdr:rowOff>204021</xdr:rowOff>
    </xdr:to>
    <xdr:sp macro="[0]!Generar_VR_12a17" textlink="">
      <xdr:nvSpPr>
        <xdr:cNvPr id="8" name="Rectángulo 7"/>
        <xdr:cNvSpPr/>
      </xdr:nvSpPr>
      <xdr:spPr>
        <a:xfrm>
          <a:off x="8775730" y="2694846"/>
          <a:ext cx="1402885" cy="6048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aseline="0">
              <a:solidFill>
                <a:schemeClr val="tx1"/>
              </a:solidFill>
            </a:rPr>
            <a:t>Generar VR max 17 bienes</a:t>
          </a:r>
          <a:endParaRPr lang="es-MX" sz="16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11</xdr:row>
      <xdr:rowOff>95250</xdr:rowOff>
    </xdr:from>
    <xdr:to>
      <xdr:col>4</xdr:col>
      <xdr:colOff>628650</xdr:colOff>
      <xdr:row>16</xdr:row>
      <xdr:rowOff>85725</xdr:rowOff>
    </xdr:to>
    <xdr:sp macro="" textlink="">
      <xdr:nvSpPr>
        <xdr:cNvPr id="2" name="Rectángulo 1"/>
        <xdr:cNvSpPr/>
      </xdr:nvSpPr>
      <xdr:spPr>
        <a:xfrm>
          <a:off x="8105775" y="2190750"/>
          <a:ext cx="2324100" cy="942975"/>
        </a:xfrm>
        <a:prstGeom prst="rect">
          <a:avLst/>
        </a:prstGeom>
        <a:solidFill>
          <a:srgbClr val="FF3300"/>
        </a:solidFill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100" b="1">
              <a:solidFill>
                <a:schemeClr val="tx1"/>
              </a:solidFill>
            </a:rPr>
            <a:t>NOTA:</a:t>
          </a:r>
          <a:r>
            <a:rPr lang="es-MX" sz="1100">
              <a:solidFill>
                <a:schemeClr val="tx1"/>
              </a:solidFill>
            </a:rPr>
            <a:t> Esta hoja</a:t>
          </a:r>
          <a:r>
            <a:rPr lang="es-MX" sz="1100" baseline="0">
              <a:solidFill>
                <a:schemeClr val="tx1"/>
              </a:solidFill>
            </a:rPr>
            <a:t> corresponde a datos base útiles para el funcionamiento de la aplicación, no modificar o rellenar sin previo aviso.</a:t>
          </a:r>
          <a:endParaRPr lang="es-MX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476249</xdr:colOff>
      <xdr:row>3</xdr:row>
      <xdr:rowOff>95249</xdr:rowOff>
    </xdr:from>
    <xdr:to>
      <xdr:col>3</xdr:col>
      <xdr:colOff>2364863</xdr:colOff>
      <xdr:row>9</xdr:row>
      <xdr:rowOff>68249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49" y="666749"/>
          <a:ext cx="1888614" cy="111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161925</xdr:colOff>
      <xdr:row>3</xdr:row>
      <xdr:rowOff>114299</xdr:rowOff>
    </xdr:from>
    <xdr:to>
      <xdr:col>5</xdr:col>
      <xdr:colOff>250871</xdr:colOff>
      <xdr:row>8</xdr:row>
      <xdr:rowOff>54599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685799"/>
          <a:ext cx="850946" cy="892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entario" displayName="Inventario" ref="B13:P348" totalsRowShown="0" headerRowDxfId="44" dataDxfId="43">
  <tableColumns count="15">
    <tableColumn id="1" name="# de inventario" dataDxfId="42">
      <calculatedColumnFormula>IF(LEN(D14)&lt;10,CONCATENATE(LEFT(Inventario[[#This Row],[Área]],11),REPT(0,(10-LEN(D14))),D14),CONCATENATE(Inventario[Área],D14))</calculatedColumnFormula>
    </tableColumn>
    <tableColumn id="15" name="ID-SEP" dataDxfId="41" totalsRowDxfId="40"/>
    <tableColumn id="2" name="# Inventario" dataDxfId="39" totalsRowDxfId="38"/>
    <tableColumn id="3" name="Cantidad" dataDxfId="37" totalsRowDxfId="36"/>
    <tableColumn id="4" name="Descripción" dataDxfId="35" totalsRowDxfId="34"/>
    <tableColumn id="5" name="Marca" dataDxfId="33" totalsRowDxfId="32"/>
    <tableColumn id="6" name="Modelo" dataDxfId="31" totalsRowDxfId="30"/>
    <tableColumn id="7" name="Serie" dataDxfId="29" totalsRowDxfId="28"/>
    <tableColumn id="8" name="Valor" dataDxfId="27" totalsRowDxfId="26"/>
    <tableColumn id="9" name="Documentación soporte" dataDxfId="25" totalsRowDxfId="24"/>
    <tableColumn id="10" name="Adquisición" dataDxfId="23" totalsRowDxfId="22"/>
    <tableColumn id="11" name="Fecha de adquisición" dataDxfId="21"/>
    <tableColumn id="12" name="Área" dataDxfId="20" totalsRowDxfId="19"/>
    <tableColumn id="13" name="Resguardante" dataDxfId="18" totalsRowDxfId="17"/>
    <tableColumn id="14" name="Estatus" dataDxfId="16" totalsRowDxfId="1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Datos_de_vale_de_resguardo" displayName="Datos_de_vale_de_resguardo" ref="B4:L404" totalsRowShown="0" headerRowDxfId="14" dataDxfId="13">
  <autoFilter ref="B4:L404"/>
  <tableColumns count="11">
    <tableColumn id="1" name="Área" dataDxfId="12"/>
    <tableColumn id="2" name="Resguardante" dataDxfId="11"/>
    <tableColumn id="3" name="FECHA" dataDxfId="10"/>
    <tableColumn id="4" name="Cantidad" dataDxfId="9"/>
    <tableColumn id="5" name="ID-SEP" dataDxfId="8"/>
    <tableColumn id="6" name="# de inventario" dataDxfId="7"/>
    <tableColumn id="7" name="Descripción" dataDxfId="6"/>
    <tableColumn id="8" name="Marca" dataDxfId="5"/>
    <tableColumn id="9" name="Modelo" dataDxfId="4"/>
    <tableColumn id="10" name="Serie" dataDxfId="3"/>
    <tableColumn id="11" name="Valor" dataDxfId="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Tabla_Adquisicíon" displayName="Tabla_Adquisicíon" ref="A6:A15" totalsRowShown="0" headerRowDxfId="1">
  <autoFilter ref="A6:A15"/>
  <tableColumns count="1">
    <tableColumn id="1" name="Adquisición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3" name="Tabla_Estatus" displayName="Tabla_Estatus" ref="B6:B10" totalsRowShown="0" headerRowDxfId="0">
  <autoFilter ref="B6:B10"/>
  <tableColumns count="1">
    <tableColumn id="1" name="Estatu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a_Área" displayName="Tabla_Área" ref="C6:C101" totalsRowShown="0">
  <autoFilter ref="C6:C101"/>
  <tableColumns count="1">
    <tableColumn id="2" name="Área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abla_Resguardante" displayName="Tabla_Resguardante" ref="G6:G14" totalsRowShown="0">
  <autoFilter ref="G6:G14"/>
  <tableColumns count="1">
    <tableColumn id="1" name="Resguardant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P348"/>
  <sheetViews>
    <sheetView tabSelected="1" zoomScale="96" zoomScaleNormal="96" workbookViewId="0"/>
  </sheetViews>
  <sheetFormatPr baseColWidth="10" defaultRowHeight="15"/>
  <cols>
    <col min="1" max="1" width="2.7109375" customWidth="1"/>
    <col min="2" max="2" width="21.5703125" customWidth="1"/>
    <col min="3" max="3" width="20.7109375" customWidth="1"/>
    <col min="4" max="4" width="6.28515625" customWidth="1"/>
    <col min="6" max="6" width="25.7109375" customWidth="1"/>
    <col min="7" max="7" width="22.28515625" customWidth="1"/>
    <col min="8" max="8" width="73.28515625" customWidth="1"/>
    <col min="9" max="9" width="21.140625" customWidth="1"/>
    <col min="11" max="11" width="24.28515625" customWidth="1"/>
    <col min="12" max="12" width="13.5703125" customWidth="1"/>
    <col min="13" max="13" width="21.5703125" customWidth="1"/>
    <col min="14" max="14" width="32.28515625" customWidth="1"/>
    <col min="15" max="15" width="26" customWidth="1"/>
    <col min="16" max="16" width="17" customWidth="1"/>
  </cols>
  <sheetData>
    <row r="1" spans="2:16" s="18" customFormat="1" ht="23.25">
      <c r="B1" s="17" t="s">
        <v>151</v>
      </c>
    </row>
    <row r="2" spans="2:16" s="18" customFormat="1">
      <c r="E2" s="19" t="s">
        <v>29</v>
      </c>
      <c r="F2" s="20"/>
      <c r="G2" s="19" t="s">
        <v>3</v>
      </c>
      <c r="H2" s="20"/>
    </row>
    <row r="3" spans="2:16" s="18" customFormat="1">
      <c r="E3" s="19" t="s">
        <v>18</v>
      </c>
      <c r="F3" s="20">
        <f>MAX(Inventario[[#All],['# Inventario]])+1</f>
        <v>335</v>
      </c>
      <c r="G3" s="19" t="s">
        <v>1</v>
      </c>
      <c r="H3" s="20"/>
    </row>
    <row r="4" spans="2:16" s="18" customFormat="1">
      <c r="C4" s="21"/>
      <c r="E4" s="19" t="s">
        <v>5</v>
      </c>
      <c r="F4" s="20"/>
      <c r="G4" s="19" t="s">
        <v>4</v>
      </c>
      <c r="H4" s="22"/>
    </row>
    <row r="5" spans="2:16" s="18" customFormat="1">
      <c r="E5" s="19" t="s">
        <v>0</v>
      </c>
      <c r="F5" s="88"/>
      <c r="G5" s="19" t="s">
        <v>15</v>
      </c>
      <c r="H5" s="20"/>
    </row>
    <row r="6" spans="2:16" s="18" customFormat="1">
      <c r="C6" s="23"/>
      <c r="E6" s="19" t="s">
        <v>19</v>
      </c>
      <c r="F6" s="20"/>
      <c r="G6" s="19" t="s">
        <v>16</v>
      </c>
      <c r="H6" s="20"/>
    </row>
    <row r="7" spans="2:16" s="18" customFormat="1">
      <c r="E7" s="19" t="s">
        <v>20</v>
      </c>
      <c r="F7" s="20"/>
      <c r="G7" s="19" t="s">
        <v>22</v>
      </c>
      <c r="H7" s="20"/>
    </row>
    <row r="8" spans="2:16" s="18" customFormat="1">
      <c r="E8" s="19" t="s">
        <v>21</v>
      </c>
      <c r="F8" s="80"/>
    </row>
    <row r="9" spans="2:16" s="18" customFormat="1">
      <c r="E9" s="19" t="s">
        <v>2</v>
      </c>
      <c r="F9" s="24"/>
    </row>
    <row r="10" spans="2:16" s="18" customFormat="1"/>
    <row r="11" spans="2:16" s="18" customFormat="1"/>
    <row r="13" spans="2:16">
      <c r="B13" s="33" t="s">
        <v>150</v>
      </c>
      <c r="C13" s="34" t="s">
        <v>28</v>
      </c>
      <c r="D13" s="34" t="s">
        <v>18</v>
      </c>
      <c r="E13" s="10" t="s">
        <v>5</v>
      </c>
      <c r="F13" s="10" t="s">
        <v>0</v>
      </c>
      <c r="G13" s="10" t="s">
        <v>19</v>
      </c>
      <c r="H13" s="10" t="s">
        <v>20</v>
      </c>
      <c r="I13" s="10" t="s">
        <v>21</v>
      </c>
      <c r="J13" s="10" t="s">
        <v>2</v>
      </c>
      <c r="K13" s="10" t="s">
        <v>3</v>
      </c>
      <c r="L13" s="10" t="s">
        <v>1</v>
      </c>
      <c r="M13" s="10" t="s">
        <v>4</v>
      </c>
      <c r="N13" s="10" t="s">
        <v>15</v>
      </c>
      <c r="O13" s="10" t="s">
        <v>16</v>
      </c>
      <c r="P13" s="10" t="s">
        <v>22</v>
      </c>
    </row>
    <row r="14" spans="2:16">
      <c r="B14" s="74" t="str">
        <f>IF(LEN(D14)&lt;10,CONCATENATE(LEFT(Inventario[[#This Row],[Área]],11),REPT(0,(10-LEN(D14))),D14),CONCATENATE(Inventario[Área],D14))</f>
        <v>1.0.0.0.3- 0000000334</v>
      </c>
      <c r="C14" s="87"/>
      <c r="D14" s="76">
        <v>334</v>
      </c>
      <c r="E14" s="77">
        <v>1</v>
      </c>
      <c r="F14" s="77" t="s">
        <v>317</v>
      </c>
      <c r="G14" s="77" t="s">
        <v>158</v>
      </c>
      <c r="H14" s="77" t="s">
        <v>158</v>
      </c>
      <c r="I14" s="81" t="s">
        <v>158</v>
      </c>
      <c r="J14" s="78" t="s">
        <v>158</v>
      </c>
      <c r="K14" s="77" t="s">
        <v>158</v>
      </c>
      <c r="L14" s="77" t="s">
        <v>6</v>
      </c>
      <c r="M14" s="86" t="s">
        <v>158</v>
      </c>
      <c r="N14" s="77" t="s">
        <v>57</v>
      </c>
      <c r="O14" s="77" t="s">
        <v>272</v>
      </c>
      <c r="P14" s="77" t="s">
        <v>23</v>
      </c>
    </row>
    <row r="15" spans="2:16">
      <c r="B15" s="74" t="str">
        <f>IF(LEN(D15)&lt;10,CONCATENATE(LEFT(Inventario[[#This Row],[Área]],11),REPT(0,(10-LEN(D15))),D15),CONCATENATE(Inventario[Área],D15))</f>
        <v>1.0.0.0.3- 0000000333</v>
      </c>
      <c r="C15" s="87"/>
      <c r="D15" s="76">
        <v>333</v>
      </c>
      <c r="E15" s="77">
        <v>1</v>
      </c>
      <c r="F15" s="77" t="s">
        <v>316</v>
      </c>
      <c r="G15" s="77" t="s">
        <v>158</v>
      </c>
      <c r="H15" s="77" t="s">
        <v>158</v>
      </c>
      <c r="I15" s="81" t="s">
        <v>158</v>
      </c>
      <c r="J15" s="78" t="s">
        <v>158</v>
      </c>
      <c r="K15" s="77" t="s">
        <v>158</v>
      </c>
      <c r="L15" s="77" t="s">
        <v>6</v>
      </c>
      <c r="M15" s="86" t="s">
        <v>158</v>
      </c>
      <c r="N15" s="77" t="s">
        <v>57</v>
      </c>
      <c r="O15" s="77" t="s">
        <v>272</v>
      </c>
      <c r="P15" s="77" t="s">
        <v>23</v>
      </c>
    </row>
    <row r="16" spans="2:16">
      <c r="B16" s="74" t="str">
        <f>IF(LEN(D16)&lt;10,CONCATENATE(LEFT(Inventario[[#This Row],[Área]],11),REPT(0,(10-LEN(D16))),D16),CONCATENATE(Inventario[Área],D16))</f>
        <v>1.0.0.0.3- 0000000332</v>
      </c>
      <c r="C16" s="87"/>
      <c r="D16" s="76">
        <v>332</v>
      </c>
      <c r="E16" s="77">
        <v>1</v>
      </c>
      <c r="F16" s="77" t="s">
        <v>315</v>
      </c>
      <c r="G16" s="77" t="s">
        <v>158</v>
      </c>
      <c r="H16" s="77" t="s">
        <v>158</v>
      </c>
      <c r="I16" s="81" t="s">
        <v>158</v>
      </c>
      <c r="J16" s="78" t="s">
        <v>158</v>
      </c>
      <c r="K16" s="77" t="s">
        <v>158</v>
      </c>
      <c r="L16" s="77" t="s">
        <v>6</v>
      </c>
      <c r="M16" s="86" t="s">
        <v>158</v>
      </c>
      <c r="N16" s="77" t="s">
        <v>57</v>
      </c>
      <c r="O16" s="77" t="s">
        <v>272</v>
      </c>
      <c r="P16" s="77" t="s">
        <v>23</v>
      </c>
    </row>
    <row r="17" spans="2:16">
      <c r="B17" s="74" t="str">
        <f>IF(LEN(D17)&lt;10,CONCATENATE(LEFT(Inventario[[#This Row],[Área]],11),REPT(0,(10-LEN(D17))),D17),CONCATENATE(Inventario[Área],D17))</f>
        <v>1.0.0.0.3- 0000000331</v>
      </c>
      <c r="C17" s="87"/>
      <c r="D17" s="76">
        <v>331</v>
      </c>
      <c r="E17" s="77">
        <v>1</v>
      </c>
      <c r="F17" s="77" t="s">
        <v>314</v>
      </c>
      <c r="G17" s="77" t="s">
        <v>158</v>
      </c>
      <c r="H17" s="77" t="s">
        <v>158</v>
      </c>
      <c r="I17" s="81" t="s">
        <v>158</v>
      </c>
      <c r="J17" s="78" t="s">
        <v>158</v>
      </c>
      <c r="K17" s="77" t="s">
        <v>158</v>
      </c>
      <c r="L17" s="77" t="s">
        <v>6</v>
      </c>
      <c r="M17" s="86" t="s">
        <v>158</v>
      </c>
      <c r="N17" s="77" t="s">
        <v>57</v>
      </c>
      <c r="O17" s="77" t="s">
        <v>272</v>
      </c>
      <c r="P17" s="77" t="s">
        <v>23</v>
      </c>
    </row>
    <row r="18" spans="2:16">
      <c r="B18" s="74" t="str">
        <f>IF(LEN(D18)&lt;10,CONCATENATE(LEFT(Inventario[[#This Row],[Área]],11),REPT(0,(10-LEN(D18))),D18),CONCATENATE(Inventario[Área],D18))</f>
        <v>1.0.0.0.3- 0000000330</v>
      </c>
      <c r="C18" s="87"/>
      <c r="D18" s="76">
        <v>330</v>
      </c>
      <c r="E18" s="77">
        <v>1</v>
      </c>
      <c r="F18" s="77" t="s">
        <v>313</v>
      </c>
      <c r="G18" s="77" t="s">
        <v>158</v>
      </c>
      <c r="H18" s="77" t="s">
        <v>158</v>
      </c>
      <c r="I18" s="81" t="s">
        <v>158</v>
      </c>
      <c r="J18" s="78" t="s">
        <v>158</v>
      </c>
      <c r="K18" s="77" t="s">
        <v>158</v>
      </c>
      <c r="L18" s="77" t="s">
        <v>6</v>
      </c>
      <c r="M18" s="86" t="s">
        <v>158</v>
      </c>
      <c r="N18" s="77" t="s">
        <v>57</v>
      </c>
      <c r="O18" s="77" t="s">
        <v>272</v>
      </c>
      <c r="P18" s="77" t="s">
        <v>23</v>
      </c>
    </row>
    <row r="19" spans="2:16">
      <c r="B19" s="74" t="str">
        <f>IF(LEN(D19)&lt;10,CONCATENATE(LEFT(Inventario[[#This Row],[Área]],11),REPT(0,(10-LEN(D19))),D19),CONCATENATE(Inventario[Área],D19))</f>
        <v>1.0.0.0.3- 0000000329</v>
      </c>
      <c r="C19" s="87"/>
      <c r="D19" s="76">
        <v>329</v>
      </c>
      <c r="E19" s="77">
        <v>1</v>
      </c>
      <c r="F19" s="77" t="s">
        <v>313</v>
      </c>
      <c r="G19" s="77" t="s">
        <v>158</v>
      </c>
      <c r="H19" s="77" t="s">
        <v>158</v>
      </c>
      <c r="I19" s="81" t="s">
        <v>158</v>
      </c>
      <c r="J19" s="78" t="s">
        <v>158</v>
      </c>
      <c r="K19" s="77" t="s">
        <v>158</v>
      </c>
      <c r="L19" s="77" t="s">
        <v>6</v>
      </c>
      <c r="M19" s="86" t="s">
        <v>158</v>
      </c>
      <c r="N19" s="77" t="s">
        <v>57</v>
      </c>
      <c r="O19" s="77" t="s">
        <v>272</v>
      </c>
      <c r="P19" s="77" t="s">
        <v>23</v>
      </c>
    </row>
    <row r="20" spans="2:16">
      <c r="B20" s="74" t="str">
        <f>IF(LEN(D20)&lt;10,CONCATENATE(LEFT(Inventario[[#This Row],[Área]],11),REPT(0,(10-LEN(D20))),D20),CONCATENATE(Inventario[Área],D20))</f>
        <v>1.0.0.0.3- 0000000328</v>
      </c>
      <c r="C20" s="87"/>
      <c r="D20" s="76">
        <v>328</v>
      </c>
      <c r="E20" s="77">
        <v>1</v>
      </c>
      <c r="F20" s="77" t="s">
        <v>313</v>
      </c>
      <c r="G20" s="77" t="s">
        <v>158</v>
      </c>
      <c r="H20" s="77" t="s">
        <v>158</v>
      </c>
      <c r="I20" s="81" t="s">
        <v>158</v>
      </c>
      <c r="J20" s="78" t="s">
        <v>158</v>
      </c>
      <c r="K20" s="77" t="s">
        <v>158</v>
      </c>
      <c r="L20" s="77" t="s">
        <v>6</v>
      </c>
      <c r="M20" s="86" t="s">
        <v>158</v>
      </c>
      <c r="N20" s="77" t="s">
        <v>57</v>
      </c>
      <c r="O20" s="77" t="s">
        <v>272</v>
      </c>
      <c r="P20" s="77" t="s">
        <v>23</v>
      </c>
    </row>
    <row r="21" spans="2:16">
      <c r="B21" s="74" t="str">
        <f>IF(LEN(D21)&lt;10,CONCATENATE(LEFT(Inventario[[#This Row],[Área]],11),REPT(0,(10-LEN(D21))),D21),CONCATENATE(Inventario[Área],D21))</f>
        <v>1.0.0.0.3- 0000000327</v>
      </c>
      <c r="C21" s="87"/>
      <c r="D21" s="76">
        <v>327</v>
      </c>
      <c r="E21" s="77">
        <v>1</v>
      </c>
      <c r="F21" s="77" t="s">
        <v>312</v>
      </c>
      <c r="G21" s="77" t="s">
        <v>158</v>
      </c>
      <c r="H21" s="77" t="s">
        <v>158</v>
      </c>
      <c r="I21" s="81" t="s">
        <v>158</v>
      </c>
      <c r="J21" s="78" t="s">
        <v>158</v>
      </c>
      <c r="K21" s="77" t="s">
        <v>158</v>
      </c>
      <c r="L21" s="77" t="s">
        <v>6</v>
      </c>
      <c r="M21" s="86" t="s">
        <v>158</v>
      </c>
      <c r="N21" s="77" t="s">
        <v>57</v>
      </c>
      <c r="O21" s="77" t="s">
        <v>272</v>
      </c>
      <c r="P21" s="77" t="s">
        <v>23</v>
      </c>
    </row>
    <row r="22" spans="2:16">
      <c r="B22" s="74" t="str">
        <f>IF(LEN(D22)&lt;10,CONCATENATE(LEFT(Inventario[[#This Row],[Área]],11),REPT(0,(10-LEN(D22))),D22),CONCATENATE(Inventario[Área],D22))</f>
        <v>1.0.0.0.3- 0000000326</v>
      </c>
      <c r="C22" s="87"/>
      <c r="D22" s="76">
        <v>326</v>
      </c>
      <c r="E22" s="77">
        <v>1</v>
      </c>
      <c r="F22" s="77" t="s">
        <v>312</v>
      </c>
      <c r="G22" s="77" t="s">
        <v>158</v>
      </c>
      <c r="H22" s="77" t="s">
        <v>158</v>
      </c>
      <c r="I22" s="81" t="s">
        <v>158</v>
      </c>
      <c r="J22" s="78" t="s">
        <v>158</v>
      </c>
      <c r="K22" s="77" t="s">
        <v>158</v>
      </c>
      <c r="L22" s="77" t="s">
        <v>6</v>
      </c>
      <c r="M22" s="86" t="s">
        <v>158</v>
      </c>
      <c r="N22" s="77" t="s">
        <v>57</v>
      </c>
      <c r="O22" s="77" t="s">
        <v>272</v>
      </c>
      <c r="P22" s="77" t="s">
        <v>23</v>
      </c>
    </row>
    <row r="23" spans="2:16">
      <c r="B23" s="74" t="str">
        <f>IF(LEN(D23)&lt;10,CONCATENATE(LEFT(Inventario[[#This Row],[Área]],11),REPT(0,(10-LEN(D23))),D23),CONCATENATE(Inventario[Área],D23))</f>
        <v>1.0.0.0.3- 0000000325</v>
      </c>
      <c r="C23" s="87"/>
      <c r="D23" s="76">
        <v>325</v>
      </c>
      <c r="E23" s="77">
        <v>1</v>
      </c>
      <c r="F23" s="77" t="s">
        <v>312</v>
      </c>
      <c r="G23" s="77" t="s">
        <v>158</v>
      </c>
      <c r="H23" s="77" t="s">
        <v>158</v>
      </c>
      <c r="I23" s="81" t="s">
        <v>158</v>
      </c>
      <c r="J23" s="78" t="s">
        <v>158</v>
      </c>
      <c r="K23" s="77" t="s">
        <v>158</v>
      </c>
      <c r="L23" s="77" t="s">
        <v>6</v>
      </c>
      <c r="M23" s="86" t="s">
        <v>158</v>
      </c>
      <c r="N23" s="77" t="s">
        <v>57</v>
      </c>
      <c r="O23" s="77" t="s">
        <v>272</v>
      </c>
      <c r="P23" s="77" t="s">
        <v>23</v>
      </c>
    </row>
    <row r="24" spans="2:16">
      <c r="B24" s="74" t="str">
        <f>IF(LEN(D24)&lt;10,CONCATENATE(LEFT(Inventario[[#This Row],[Área]],11),REPT(0,(10-LEN(D24))),D24),CONCATENATE(Inventario[Área],D24))</f>
        <v>1.0.0.0.3- 0000000324</v>
      </c>
      <c r="C24" s="87"/>
      <c r="D24" s="76">
        <v>324</v>
      </c>
      <c r="E24" s="77">
        <v>1</v>
      </c>
      <c r="F24" s="77" t="s">
        <v>312</v>
      </c>
      <c r="G24" s="77" t="s">
        <v>158</v>
      </c>
      <c r="H24" s="77" t="s">
        <v>158</v>
      </c>
      <c r="I24" s="81" t="s">
        <v>158</v>
      </c>
      <c r="J24" s="78" t="s">
        <v>158</v>
      </c>
      <c r="K24" s="77" t="s">
        <v>158</v>
      </c>
      <c r="L24" s="77" t="s">
        <v>6</v>
      </c>
      <c r="M24" s="86" t="s">
        <v>158</v>
      </c>
      <c r="N24" s="77" t="s">
        <v>57</v>
      </c>
      <c r="O24" s="77" t="s">
        <v>272</v>
      </c>
      <c r="P24" s="77" t="s">
        <v>23</v>
      </c>
    </row>
    <row r="25" spans="2:16">
      <c r="B25" s="74" t="str">
        <f>IF(LEN(D25)&lt;10,CONCATENATE(LEFT(Inventario[[#This Row],[Área]],11),REPT(0,(10-LEN(D25))),D25),CONCATENATE(Inventario[Área],D25))</f>
        <v>1.0.0.0.3- 0000000323</v>
      </c>
      <c r="C25" s="87"/>
      <c r="D25" s="76">
        <v>323</v>
      </c>
      <c r="E25" s="77">
        <v>1</v>
      </c>
      <c r="F25" s="77" t="s">
        <v>312</v>
      </c>
      <c r="G25" s="77" t="s">
        <v>158</v>
      </c>
      <c r="H25" s="77" t="s">
        <v>158</v>
      </c>
      <c r="I25" s="81" t="s">
        <v>158</v>
      </c>
      <c r="J25" s="78" t="s">
        <v>158</v>
      </c>
      <c r="K25" s="77" t="s">
        <v>158</v>
      </c>
      <c r="L25" s="77" t="s">
        <v>6</v>
      </c>
      <c r="M25" s="86" t="s">
        <v>158</v>
      </c>
      <c r="N25" s="77" t="s">
        <v>57</v>
      </c>
      <c r="O25" s="77" t="s">
        <v>272</v>
      </c>
      <c r="P25" s="77" t="s">
        <v>23</v>
      </c>
    </row>
    <row r="26" spans="2:16">
      <c r="B26" s="74" t="str">
        <f>IF(LEN(D26)&lt;10,CONCATENATE(LEFT(Inventario[[#This Row],[Área]],11),REPT(0,(10-LEN(D26))),D26),CONCATENATE(Inventario[Área],D26))</f>
        <v>1.0.0.0.3- 0000000322</v>
      </c>
      <c r="C26" s="87"/>
      <c r="D26" s="76">
        <v>322</v>
      </c>
      <c r="E26" s="77">
        <v>1</v>
      </c>
      <c r="F26" s="77" t="s">
        <v>312</v>
      </c>
      <c r="G26" s="77" t="s">
        <v>158</v>
      </c>
      <c r="H26" s="77" t="s">
        <v>158</v>
      </c>
      <c r="I26" s="81" t="s">
        <v>158</v>
      </c>
      <c r="J26" s="78" t="s">
        <v>158</v>
      </c>
      <c r="K26" s="77" t="s">
        <v>158</v>
      </c>
      <c r="L26" s="77" t="s">
        <v>6</v>
      </c>
      <c r="M26" s="86" t="s">
        <v>158</v>
      </c>
      <c r="N26" s="77" t="s">
        <v>57</v>
      </c>
      <c r="O26" s="77" t="s">
        <v>272</v>
      </c>
      <c r="P26" s="77" t="s">
        <v>23</v>
      </c>
    </row>
    <row r="27" spans="2:16">
      <c r="B27" s="74" t="str">
        <f>IF(LEN(D27)&lt;10,CONCATENATE(LEFT(Inventario[[#This Row],[Área]],11),REPT(0,(10-LEN(D27))),D27),CONCATENATE(Inventario[Área],D27))</f>
        <v>1.0.0.0.3- 0000000321</v>
      </c>
      <c r="C27" s="87"/>
      <c r="D27" s="76">
        <v>321</v>
      </c>
      <c r="E27" s="77">
        <v>1</v>
      </c>
      <c r="F27" s="77" t="s">
        <v>312</v>
      </c>
      <c r="G27" s="77" t="s">
        <v>158</v>
      </c>
      <c r="H27" s="77" t="s">
        <v>158</v>
      </c>
      <c r="I27" s="81" t="s">
        <v>158</v>
      </c>
      <c r="J27" s="78" t="s">
        <v>158</v>
      </c>
      <c r="K27" s="77" t="s">
        <v>158</v>
      </c>
      <c r="L27" s="77" t="s">
        <v>6</v>
      </c>
      <c r="M27" s="86" t="s">
        <v>158</v>
      </c>
      <c r="N27" s="77" t="s">
        <v>57</v>
      </c>
      <c r="O27" s="77" t="s">
        <v>272</v>
      </c>
      <c r="P27" s="77" t="s">
        <v>23</v>
      </c>
    </row>
    <row r="28" spans="2:16">
      <c r="B28" s="74" t="str">
        <f>IF(LEN(D28)&lt;10,CONCATENATE(LEFT(Inventario[[#This Row],[Área]],11),REPT(0,(10-LEN(D28))),D28),CONCATENATE(Inventario[Área],D28))</f>
        <v>1.0.0.0.3- 0000000320</v>
      </c>
      <c r="C28" s="87"/>
      <c r="D28" s="76">
        <v>320</v>
      </c>
      <c r="E28" s="77">
        <v>1</v>
      </c>
      <c r="F28" s="77" t="s">
        <v>312</v>
      </c>
      <c r="G28" s="77" t="s">
        <v>158</v>
      </c>
      <c r="H28" s="77" t="s">
        <v>158</v>
      </c>
      <c r="I28" s="81" t="s">
        <v>158</v>
      </c>
      <c r="J28" s="78" t="s">
        <v>158</v>
      </c>
      <c r="K28" s="77" t="s">
        <v>158</v>
      </c>
      <c r="L28" s="77" t="s">
        <v>6</v>
      </c>
      <c r="M28" s="86" t="s">
        <v>158</v>
      </c>
      <c r="N28" s="77" t="s">
        <v>57</v>
      </c>
      <c r="O28" s="77" t="s">
        <v>272</v>
      </c>
      <c r="P28" s="77" t="s">
        <v>23</v>
      </c>
    </row>
    <row r="29" spans="2:16">
      <c r="B29" s="74" t="str">
        <f>IF(LEN(D29)&lt;10,CONCATENATE(LEFT(Inventario[[#This Row],[Área]],11),REPT(0,(10-LEN(D29))),D29),CONCATENATE(Inventario[Área],D29))</f>
        <v>1.0.0.0.3- 0000000319</v>
      </c>
      <c r="C29" s="87"/>
      <c r="D29" s="76">
        <v>319</v>
      </c>
      <c r="E29" s="77">
        <v>1</v>
      </c>
      <c r="F29" s="77" t="s">
        <v>312</v>
      </c>
      <c r="G29" s="77" t="s">
        <v>158</v>
      </c>
      <c r="H29" s="77" t="s">
        <v>158</v>
      </c>
      <c r="I29" s="81" t="s">
        <v>158</v>
      </c>
      <c r="J29" s="78" t="s">
        <v>158</v>
      </c>
      <c r="K29" s="77" t="s">
        <v>158</v>
      </c>
      <c r="L29" s="77" t="s">
        <v>6</v>
      </c>
      <c r="M29" s="86" t="s">
        <v>158</v>
      </c>
      <c r="N29" s="77" t="s">
        <v>57</v>
      </c>
      <c r="O29" s="77" t="s">
        <v>272</v>
      </c>
      <c r="P29" s="77" t="s">
        <v>23</v>
      </c>
    </row>
    <row r="30" spans="2:16">
      <c r="B30" s="74" t="str">
        <f>IF(LEN(D30)&lt;10,CONCATENATE(LEFT(Inventario[[#This Row],[Área]],11),REPT(0,(10-LEN(D30))),D30),CONCATENATE(Inventario[Área],D30))</f>
        <v>1.0.0.0.3- 0000000318</v>
      </c>
      <c r="C30" s="87"/>
      <c r="D30" s="76">
        <v>318</v>
      </c>
      <c r="E30" s="77">
        <v>1</v>
      </c>
      <c r="F30" s="77" t="s">
        <v>312</v>
      </c>
      <c r="G30" s="77" t="s">
        <v>158</v>
      </c>
      <c r="H30" s="77" t="s">
        <v>158</v>
      </c>
      <c r="I30" s="81" t="s">
        <v>158</v>
      </c>
      <c r="J30" s="78" t="s">
        <v>158</v>
      </c>
      <c r="K30" s="77" t="s">
        <v>158</v>
      </c>
      <c r="L30" s="77" t="s">
        <v>6</v>
      </c>
      <c r="M30" s="86" t="s">
        <v>158</v>
      </c>
      <c r="N30" s="77" t="s">
        <v>57</v>
      </c>
      <c r="O30" s="77" t="s">
        <v>272</v>
      </c>
      <c r="P30" s="77" t="s">
        <v>23</v>
      </c>
    </row>
    <row r="31" spans="2:16">
      <c r="B31" s="74" t="str">
        <f>IF(LEN(D31)&lt;10,CONCATENATE(LEFT(Inventario[[#This Row],[Área]],11),REPT(0,(10-LEN(D31))),D31),CONCATENATE(Inventario[Área],D31))</f>
        <v>1.0.0.0.3- 0000000317</v>
      </c>
      <c r="C31" s="87"/>
      <c r="D31" s="76">
        <v>317</v>
      </c>
      <c r="E31" s="77">
        <v>1</v>
      </c>
      <c r="F31" s="77" t="s">
        <v>312</v>
      </c>
      <c r="G31" s="77" t="s">
        <v>158</v>
      </c>
      <c r="H31" s="77" t="s">
        <v>158</v>
      </c>
      <c r="I31" s="81" t="s">
        <v>158</v>
      </c>
      <c r="J31" s="78" t="s">
        <v>158</v>
      </c>
      <c r="K31" s="77" t="s">
        <v>158</v>
      </c>
      <c r="L31" s="77" t="s">
        <v>6</v>
      </c>
      <c r="M31" s="86" t="s">
        <v>158</v>
      </c>
      <c r="N31" s="77" t="s">
        <v>57</v>
      </c>
      <c r="O31" s="77" t="s">
        <v>272</v>
      </c>
      <c r="P31" s="77" t="s">
        <v>23</v>
      </c>
    </row>
    <row r="32" spans="2:16">
      <c r="B32" s="74" t="str">
        <f>IF(LEN(D32)&lt;10,CONCATENATE(LEFT(Inventario[[#This Row],[Área]],11),REPT(0,(10-LEN(D32))),D32),CONCATENATE(Inventario[Área],D32))</f>
        <v>1.0.0.0.3- 0000000316</v>
      </c>
      <c r="C32" s="87"/>
      <c r="D32" s="76">
        <v>316</v>
      </c>
      <c r="E32" s="77">
        <v>1</v>
      </c>
      <c r="F32" s="77" t="s">
        <v>312</v>
      </c>
      <c r="G32" s="77" t="s">
        <v>158</v>
      </c>
      <c r="H32" s="77" t="s">
        <v>158</v>
      </c>
      <c r="I32" s="81" t="s">
        <v>158</v>
      </c>
      <c r="J32" s="78" t="s">
        <v>158</v>
      </c>
      <c r="K32" s="77" t="s">
        <v>158</v>
      </c>
      <c r="L32" s="77" t="s">
        <v>6</v>
      </c>
      <c r="M32" s="86" t="s">
        <v>158</v>
      </c>
      <c r="N32" s="77" t="s">
        <v>57</v>
      </c>
      <c r="O32" s="77" t="s">
        <v>272</v>
      </c>
      <c r="P32" s="77" t="s">
        <v>23</v>
      </c>
    </row>
    <row r="33" spans="2:16">
      <c r="B33" s="74" t="str">
        <f>IF(LEN(D33)&lt;10,CONCATENATE(LEFT(Inventario[[#This Row],[Área]],11),REPT(0,(10-LEN(D33))),D33),CONCATENATE(Inventario[Área],D33))</f>
        <v>1.0.0.0.3- 0000000315</v>
      </c>
      <c r="C33" s="87"/>
      <c r="D33" s="76">
        <v>315</v>
      </c>
      <c r="E33" s="77">
        <v>1</v>
      </c>
      <c r="F33" s="77" t="s">
        <v>312</v>
      </c>
      <c r="G33" s="77" t="s">
        <v>158</v>
      </c>
      <c r="H33" s="77" t="s">
        <v>158</v>
      </c>
      <c r="I33" s="81" t="s">
        <v>158</v>
      </c>
      <c r="J33" s="78" t="s">
        <v>158</v>
      </c>
      <c r="K33" s="77" t="s">
        <v>158</v>
      </c>
      <c r="L33" s="77" t="s">
        <v>6</v>
      </c>
      <c r="M33" s="86" t="s">
        <v>158</v>
      </c>
      <c r="N33" s="77" t="s">
        <v>57</v>
      </c>
      <c r="O33" s="77" t="s">
        <v>272</v>
      </c>
      <c r="P33" s="77" t="s">
        <v>23</v>
      </c>
    </row>
    <row r="34" spans="2:16">
      <c r="B34" s="74" t="str">
        <f>IF(LEN(D34)&lt;10,CONCATENATE(LEFT(Inventario[[#This Row],[Área]],11),REPT(0,(10-LEN(D34))),D34),CONCATENATE(Inventario[Área],D34))</f>
        <v>1.0.0.0.3- 0000000314</v>
      </c>
      <c r="C34" s="87"/>
      <c r="D34" s="76">
        <v>314</v>
      </c>
      <c r="E34" s="77">
        <v>1</v>
      </c>
      <c r="F34" s="77" t="s">
        <v>312</v>
      </c>
      <c r="G34" s="77" t="s">
        <v>158</v>
      </c>
      <c r="H34" s="77" t="s">
        <v>158</v>
      </c>
      <c r="I34" s="81" t="s">
        <v>158</v>
      </c>
      <c r="J34" s="78" t="s">
        <v>158</v>
      </c>
      <c r="K34" s="77" t="s">
        <v>158</v>
      </c>
      <c r="L34" s="77" t="s">
        <v>6</v>
      </c>
      <c r="M34" s="86" t="s">
        <v>158</v>
      </c>
      <c r="N34" s="77" t="s">
        <v>57</v>
      </c>
      <c r="O34" s="77" t="s">
        <v>272</v>
      </c>
      <c r="P34" s="77" t="s">
        <v>23</v>
      </c>
    </row>
    <row r="35" spans="2:16">
      <c r="B35" s="74" t="str">
        <f>IF(LEN(D35)&lt;10,CONCATENATE(LEFT(Inventario[[#This Row],[Área]],11),REPT(0,(10-LEN(D35))),D35),CONCATENATE(Inventario[Área],D35))</f>
        <v>1.0.0.0.3- 0000000313</v>
      </c>
      <c r="C35" s="87"/>
      <c r="D35" s="76">
        <v>313</v>
      </c>
      <c r="E35" s="77">
        <v>1</v>
      </c>
      <c r="F35" s="77" t="s">
        <v>312</v>
      </c>
      <c r="G35" s="77" t="s">
        <v>158</v>
      </c>
      <c r="H35" s="77" t="s">
        <v>158</v>
      </c>
      <c r="I35" s="81" t="s">
        <v>158</v>
      </c>
      <c r="J35" s="78" t="s">
        <v>158</v>
      </c>
      <c r="K35" s="77" t="s">
        <v>158</v>
      </c>
      <c r="L35" s="77" t="s">
        <v>6</v>
      </c>
      <c r="M35" s="86" t="s">
        <v>158</v>
      </c>
      <c r="N35" s="77" t="s">
        <v>57</v>
      </c>
      <c r="O35" s="77" t="s">
        <v>272</v>
      </c>
      <c r="P35" s="77" t="s">
        <v>23</v>
      </c>
    </row>
    <row r="36" spans="2:16">
      <c r="B36" s="74" t="str">
        <f>IF(LEN(D36)&lt;10,CONCATENATE(LEFT(Inventario[[#This Row],[Área]],11),REPT(0,(10-LEN(D36))),D36),CONCATENATE(Inventario[Área],D36))</f>
        <v>1.0.0.0.3- 0000000312</v>
      </c>
      <c r="C36" s="87"/>
      <c r="D36" s="76">
        <v>312</v>
      </c>
      <c r="E36" s="77">
        <v>1</v>
      </c>
      <c r="F36" s="77" t="s">
        <v>312</v>
      </c>
      <c r="G36" s="77" t="s">
        <v>158</v>
      </c>
      <c r="H36" s="77" t="s">
        <v>158</v>
      </c>
      <c r="I36" s="81" t="s">
        <v>158</v>
      </c>
      <c r="J36" s="78" t="s">
        <v>158</v>
      </c>
      <c r="K36" s="77" t="s">
        <v>158</v>
      </c>
      <c r="L36" s="77" t="s">
        <v>6</v>
      </c>
      <c r="M36" s="86" t="s">
        <v>158</v>
      </c>
      <c r="N36" s="77" t="s">
        <v>57</v>
      </c>
      <c r="O36" s="77" t="s">
        <v>272</v>
      </c>
      <c r="P36" s="77" t="s">
        <v>23</v>
      </c>
    </row>
    <row r="37" spans="2:16">
      <c r="B37" s="74" t="str">
        <f>IF(LEN(D37)&lt;10,CONCATENATE(LEFT(Inventario[[#This Row],[Área]],11),REPT(0,(10-LEN(D37))),D37),CONCATENATE(Inventario[Área],D37))</f>
        <v>1.0.0.0.3- 0000000311</v>
      </c>
      <c r="C37" s="87"/>
      <c r="D37" s="76">
        <v>311</v>
      </c>
      <c r="E37" s="77">
        <v>1</v>
      </c>
      <c r="F37" s="77" t="s">
        <v>312</v>
      </c>
      <c r="G37" s="77" t="s">
        <v>158</v>
      </c>
      <c r="H37" s="77" t="s">
        <v>158</v>
      </c>
      <c r="I37" s="81" t="s">
        <v>158</v>
      </c>
      <c r="J37" s="78" t="s">
        <v>158</v>
      </c>
      <c r="K37" s="77" t="s">
        <v>158</v>
      </c>
      <c r="L37" s="77" t="s">
        <v>6</v>
      </c>
      <c r="M37" s="86" t="s">
        <v>158</v>
      </c>
      <c r="N37" s="77" t="s">
        <v>57</v>
      </c>
      <c r="O37" s="77" t="s">
        <v>272</v>
      </c>
      <c r="P37" s="77" t="s">
        <v>23</v>
      </c>
    </row>
    <row r="38" spans="2:16">
      <c r="B38" s="74" t="str">
        <f>IF(LEN(D38)&lt;10,CONCATENATE(LEFT(Inventario[[#This Row],[Área]],11),REPT(0,(10-LEN(D38))),D38),CONCATENATE(Inventario[Área],D38))</f>
        <v>1.0.0.0.3- 0000000310</v>
      </c>
      <c r="C38" s="87"/>
      <c r="D38" s="76">
        <v>310</v>
      </c>
      <c r="E38" s="77">
        <v>1</v>
      </c>
      <c r="F38" s="77" t="s">
        <v>312</v>
      </c>
      <c r="G38" s="77" t="s">
        <v>158</v>
      </c>
      <c r="H38" s="77" t="s">
        <v>158</v>
      </c>
      <c r="I38" s="81" t="s">
        <v>158</v>
      </c>
      <c r="J38" s="78" t="s">
        <v>158</v>
      </c>
      <c r="K38" s="77" t="s">
        <v>158</v>
      </c>
      <c r="L38" s="77" t="s">
        <v>6</v>
      </c>
      <c r="M38" s="86" t="s">
        <v>158</v>
      </c>
      <c r="N38" s="77" t="s">
        <v>57</v>
      </c>
      <c r="O38" s="77" t="s">
        <v>272</v>
      </c>
      <c r="P38" s="77" t="s">
        <v>23</v>
      </c>
    </row>
    <row r="39" spans="2:16">
      <c r="B39" s="74" t="str">
        <f>IF(LEN(D39)&lt;10,CONCATENATE(LEFT(Inventario[[#This Row],[Área]],11),REPT(0,(10-LEN(D39))),D39),CONCATENATE(Inventario[Área],D39))</f>
        <v>1.0.0.0.3- 0000000309</v>
      </c>
      <c r="C39" s="87"/>
      <c r="D39" s="76">
        <v>309</v>
      </c>
      <c r="E39" s="77">
        <v>1</v>
      </c>
      <c r="F39" s="77" t="s">
        <v>312</v>
      </c>
      <c r="G39" s="77" t="s">
        <v>158</v>
      </c>
      <c r="H39" s="77" t="s">
        <v>158</v>
      </c>
      <c r="I39" s="81" t="s">
        <v>158</v>
      </c>
      <c r="J39" s="78" t="s">
        <v>158</v>
      </c>
      <c r="K39" s="77" t="s">
        <v>158</v>
      </c>
      <c r="L39" s="77" t="s">
        <v>6</v>
      </c>
      <c r="M39" s="86" t="s">
        <v>158</v>
      </c>
      <c r="N39" s="77" t="s">
        <v>57</v>
      </c>
      <c r="O39" s="77" t="s">
        <v>272</v>
      </c>
      <c r="P39" s="77" t="s">
        <v>23</v>
      </c>
    </row>
    <row r="40" spans="2:16">
      <c r="B40" s="74" t="str">
        <f>IF(LEN(D40)&lt;10,CONCATENATE(LEFT(Inventario[[#This Row],[Área]],11),REPT(0,(10-LEN(D40))),D40),CONCATENATE(Inventario[Área],D40))</f>
        <v>1.0.0.0.3- 0000000308</v>
      </c>
      <c r="C40" s="87"/>
      <c r="D40" s="76">
        <v>308</v>
      </c>
      <c r="E40" s="77">
        <v>1</v>
      </c>
      <c r="F40" s="77" t="s">
        <v>312</v>
      </c>
      <c r="G40" s="77" t="s">
        <v>158</v>
      </c>
      <c r="H40" s="77" t="s">
        <v>158</v>
      </c>
      <c r="I40" s="81" t="s">
        <v>158</v>
      </c>
      <c r="J40" s="78" t="s">
        <v>158</v>
      </c>
      <c r="K40" s="77" t="s">
        <v>158</v>
      </c>
      <c r="L40" s="77" t="s">
        <v>6</v>
      </c>
      <c r="M40" s="86" t="s">
        <v>158</v>
      </c>
      <c r="N40" s="77" t="s">
        <v>57</v>
      </c>
      <c r="O40" s="77" t="s">
        <v>272</v>
      </c>
      <c r="P40" s="77" t="s">
        <v>23</v>
      </c>
    </row>
    <row r="41" spans="2:16">
      <c r="B41" s="74" t="str">
        <f>IF(LEN(D41)&lt;10,CONCATENATE(LEFT(Inventario[[#This Row],[Área]],11),REPT(0,(10-LEN(D41))),D41),CONCATENATE(Inventario[Área],D41))</f>
        <v>1.0.0.0.3- 0000000307</v>
      </c>
      <c r="C41" s="87"/>
      <c r="D41" s="76">
        <v>307</v>
      </c>
      <c r="E41" s="77">
        <v>1</v>
      </c>
      <c r="F41" s="77" t="s">
        <v>312</v>
      </c>
      <c r="G41" s="77" t="s">
        <v>158</v>
      </c>
      <c r="H41" s="77" t="s">
        <v>158</v>
      </c>
      <c r="I41" s="81" t="s">
        <v>158</v>
      </c>
      <c r="J41" s="78" t="s">
        <v>158</v>
      </c>
      <c r="K41" s="77" t="s">
        <v>158</v>
      </c>
      <c r="L41" s="77" t="s">
        <v>6</v>
      </c>
      <c r="M41" s="86" t="s">
        <v>158</v>
      </c>
      <c r="N41" s="77" t="s">
        <v>57</v>
      </c>
      <c r="O41" s="77" t="s">
        <v>272</v>
      </c>
      <c r="P41" s="77" t="s">
        <v>23</v>
      </c>
    </row>
    <row r="42" spans="2:16">
      <c r="B42" s="74" t="str">
        <f>IF(LEN(D42)&lt;10,CONCATENATE(LEFT(Inventario[[#This Row],[Área]],11),REPT(0,(10-LEN(D42))),D42),CONCATENATE(Inventario[Área],D42))</f>
        <v>1.0.0.0.3- 0000000306</v>
      </c>
      <c r="C42" s="87"/>
      <c r="D42" s="76">
        <v>306</v>
      </c>
      <c r="E42" s="77">
        <v>1</v>
      </c>
      <c r="F42" s="77" t="s">
        <v>312</v>
      </c>
      <c r="G42" s="77" t="s">
        <v>158</v>
      </c>
      <c r="H42" s="77" t="s">
        <v>158</v>
      </c>
      <c r="I42" s="81" t="s">
        <v>158</v>
      </c>
      <c r="J42" s="78" t="s">
        <v>158</v>
      </c>
      <c r="K42" s="77" t="s">
        <v>158</v>
      </c>
      <c r="L42" s="77" t="s">
        <v>6</v>
      </c>
      <c r="M42" s="86" t="s">
        <v>158</v>
      </c>
      <c r="N42" s="77" t="s">
        <v>57</v>
      </c>
      <c r="O42" s="77" t="s">
        <v>272</v>
      </c>
      <c r="P42" s="77" t="s">
        <v>23</v>
      </c>
    </row>
    <row r="43" spans="2:16">
      <c r="B43" s="74" t="str">
        <f>IF(LEN(D43)&lt;10,CONCATENATE(LEFT(Inventario[[#This Row],[Área]],11),REPT(0,(10-LEN(D43))),D43),CONCATENATE(Inventario[Área],D43))</f>
        <v>1.0.0.0.3- 0000000305</v>
      </c>
      <c r="C43" s="87"/>
      <c r="D43" s="76">
        <v>305</v>
      </c>
      <c r="E43" s="77">
        <v>1</v>
      </c>
      <c r="F43" s="77" t="s">
        <v>312</v>
      </c>
      <c r="G43" s="77" t="s">
        <v>158</v>
      </c>
      <c r="H43" s="77" t="s">
        <v>158</v>
      </c>
      <c r="I43" s="81" t="s">
        <v>158</v>
      </c>
      <c r="J43" s="78" t="s">
        <v>158</v>
      </c>
      <c r="K43" s="77" t="s">
        <v>158</v>
      </c>
      <c r="L43" s="77" t="s">
        <v>6</v>
      </c>
      <c r="M43" s="86" t="s">
        <v>158</v>
      </c>
      <c r="N43" s="77" t="s">
        <v>57</v>
      </c>
      <c r="O43" s="77" t="s">
        <v>272</v>
      </c>
      <c r="P43" s="77" t="s">
        <v>23</v>
      </c>
    </row>
    <row r="44" spans="2:16">
      <c r="B44" s="74" t="str">
        <f>IF(LEN(D44)&lt;10,CONCATENATE(LEFT(Inventario[[#This Row],[Área]],11),REPT(0,(10-LEN(D44))),D44),CONCATENATE(Inventario[Área],D44))</f>
        <v>1.0.0.0.3- 0000000304</v>
      </c>
      <c r="C44" s="87"/>
      <c r="D44" s="76">
        <v>304</v>
      </c>
      <c r="E44" s="77">
        <v>1</v>
      </c>
      <c r="F44" s="77" t="s">
        <v>312</v>
      </c>
      <c r="G44" s="77" t="s">
        <v>158</v>
      </c>
      <c r="H44" s="77" t="s">
        <v>158</v>
      </c>
      <c r="I44" s="81" t="s">
        <v>158</v>
      </c>
      <c r="J44" s="78" t="s">
        <v>158</v>
      </c>
      <c r="K44" s="77" t="s">
        <v>158</v>
      </c>
      <c r="L44" s="77" t="s">
        <v>6</v>
      </c>
      <c r="M44" s="86" t="s">
        <v>158</v>
      </c>
      <c r="N44" s="77" t="s">
        <v>57</v>
      </c>
      <c r="O44" s="77" t="s">
        <v>272</v>
      </c>
      <c r="P44" s="77" t="s">
        <v>23</v>
      </c>
    </row>
    <row r="45" spans="2:16">
      <c r="B45" s="74" t="str">
        <f>IF(LEN(D45)&lt;10,CONCATENATE(LEFT(Inventario[[#This Row],[Área]],11),REPT(0,(10-LEN(D45))),D45),CONCATENATE(Inventario[Área],D45))</f>
        <v>1.0.0.0.3- 0000000303</v>
      </c>
      <c r="C45" s="87"/>
      <c r="D45" s="76">
        <v>303</v>
      </c>
      <c r="E45" s="77">
        <v>1</v>
      </c>
      <c r="F45" s="77" t="s">
        <v>312</v>
      </c>
      <c r="G45" s="77" t="s">
        <v>158</v>
      </c>
      <c r="H45" s="77" t="s">
        <v>158</v>
      </c>
      <c r="I45" s="81" t="s">
        <v>158</v>
      </c>
      <c r="J45" s="78" t="s">
        <v>158</v>
      </c>
      <c r="K45" s="77" t="s">
        <v>158</v>
      </c>
      <c r="L45" s="77" t="s">
        <v>6</v>
      </c>
      <c r="M45" s="86" t="s">
        <v>158</v>
      </c>
      <c r="N45" s="77" t="s">
        <v>57</v>
      </c>
      <c r="O45" s="77" t="s">
        <v>272</v>
      </c>
      <c r="P45" s="77" t="s">
        <v>23</v>
      </c>
    </row>
    <row r="46" spans="2:16">
      <c r="B46" s="74" t="str">
        <f>IF(LEN(D46)&lt;10,CONCATENATE(LEFT(Inventario[[#This Row],[Área]],11),REPT(0,(10-LEN(D46))),D46),CONCATENATE(Inventario[Área],D46))</f>
        <v>1.0.0.0.3- 0000000302</v>
      </c>
      <c r="C46" s="87"/>
      <c r="D46" s="76">
        <v>302</v>
      </c>
      <c r="E46" s="77">
        <v>1</v>
      </c>
      <c r="F46" s="77" t="s">
        <v>312</v>
      </c>
      <c r="G46" s="77" t="s">
        <v>158</v>
      </c>
      <c r="H46" s="77" t="s">
        <v>158</v>
      </c>
      <c r="I46" s="81" t="s">
        <v>158</v>
      </c>
      <c r="J46" s="78" t="s">
        <v>158</v>
      </c>
      <c r="K46" s="77" t="s">
        <v>158</v>
      </c>
      <c r="L46" s="77" t="s">
        <v>6</v>
      </c>
      <c r="M46" s="86" t="s">
        <v>158</v>
      </c>
      <c r="N46" s="77" t="s">
        <v>57</v>
      </c>
      <c r="O46" s="77" t="s">
        <v>272</v>
      </c>
      <c r="P46" s="77" t="s">
        <v>23</v>
      </c>
    </row>
    <row r="47" spans="2:16">
      <c r="B47" s="74" t="str">
        <f>IF(LEN(D47)&lt;10,CONCATENATE(LEFT(Inventario[[#This Row],[Área]],11),REPT(0,(10-LEN(D47))),D47),CONCATENATE(Inventario[Área],D47))</f>
        <v>1.0.0.0.3- 0000000301</v>
      </c>
      <c r="C47" s="87"/>
      <c r="D47" s="76">
        <v>301</v>
      </c>
      <c r="E47" s="77">
        <v>1</v>
      </c>
      <c r="F47" s="77" t="s">
        <v>312</v>
      </c>
      <c r="G47" s="77" t="s">
        <v>158</v>
      </c>
      <c r="H47" s="77" t="s">
        <v>158</v>
      </c>
      <c r="I47" s="81" t="s">
        <v>158</v>
      </c>
      <c r="J47" s="78" t="s">
        <v>158</v>
      </c>
      <c r="K47" s="77" t="s">
        <v>158</v>
      </c>
      <c r="L47" s="77" t="s">
        <v>6</v>
      </c>
      <c r="M47" s="86" t="s">
        <v>158</v>
      </c>
      <c r="N47" s="77" t="s">
        <v>57</v>
      </c>
      <c r="O47" s="77" t="s">
        <v>272</v>
      </c>
      <c r="P47" s="77" t="s">
        <v>23</v>
      </c>
    </row>
    <row r="48" spans="2:16">
      <c r="B48" s="74" t="str">
        <f>IF(LEN(D48)&lt;10,CONCATENATE(LEFT(Inventario[[#This Row],[Área]],11),REPT(0,(10-LEN(D48))),D48),CONCATENATE(Inventario[Área],D48))</f>
        <v>1.0.0.0.3- 0000000300</v>
      </c>
      <c r="C48" s="87"/>
      <c r="D48" s="76">
        <v>300</v>
      </c>
      <c r="E48" s="77">
        <v>1</v>
      </c>
      <c r="F48" s="77" t="s">
        <v>312</v>
      </c>
      <c r="G48" s="77" t="s">
        <v>158</v>
      </c>
      <c r="H48" s="77" t="s">
        <v>158</v>
      </c>
      <c r="I48" s="81" t="s">
        <v>158</v>
      </c>
      <c r="J48" s="78" t="s">
        <v>158</v>
      </c>
      <c r="K48" s="77" t="s">
        <v>158</v>
      </c>
      <c r="L48" s="77" t="s">
        <v>6</v>
      </c>
      <c r="M48" s="86" t="s">
        <v>158</v>
      </c>
      <c r="N48" s="77" t="s">
        <v>57</v>
      </c>
      <c r="O48" s="77" t="s">
        <v>272</v>
      </c>
      <c r="P48" s="77" t="s">
        <v>23</v>
      </c>
    </row>
    <row r="49" spans="2:16">
      <c r="B49" s="74" t="str">
        <f>IF(LEN(D49)&lt;10,CONCATENATE(LEFT(Inventario[[#This Row],[Área]],11),REPT(0,(10-LEN(D49))),D49),CONCATENATE(Inventario[Área],D49))</f>
        <v>1.0.0.0.3- 0000000299</v>
      </c>
      <c r="C49" s="87"/>
      <c r="D49" s="76">
        <v>299</v>
      </c>
      <c r="E49" s="77">
        <v>1</v>
      </c>
      <c r="F49" s="77" t="s">
        <v>312</v>
      </c>
      <c r="G49" s="77" t="s">
        <v>158</v>
      </c>
      <c r="H49" s="77" t="s">
        <v>158</v>
      </c>
      <c r="I49" s="81" t="s">
        <v>158</v>
      </c>
      <c r="J49" s="78" t="s">
        <v>158</v>
      </c>
      <c r="K49" s="77" t="s">
        <v>158</v>
      </c>
      <c r="L49" s="77" t="s">
        <v>6</v>
      </c>
      <c r="M49" s="86" t="s">
        <v>158</v>
      </c>
      <c r="N49" s="77" t="s">
        <v>57</v>
      </c>
      <c r="O49" s="77" t="s">
        <v>272</v>
      </c>
      <c r="P49" s="77" t="s">
        <v>23</v>
      </c>
    </row>
    <row r="50" spans="2:16">
      <c r="B50" s="74" t="str">
        <f>IF(LEN(D50)&lt;10,CONCATENATE(LEFT(Inventario[[#This Row],[Área]],11),REPT(0,(10-LEN(D50))),D50),CONCATENATE(Inventario[Área],D50))</f>
        <v>1.0.0.0.3- 0000000298</v>
      </c>
      <c r="C50" s="87"/>
      <c r="D50" s="76">
        <v>298</v>
      </c>
      <c r="E50" s="77">
        <v>1</v>
      </c>
      <c r="F50" s="77" t="s">
        <v>312</v>
      </c>
      <c r="G50" s="77" t="s">
        <v>158</v>
      </c>
      <c r="H50" s="77" t="s">
        <v>158</v>
      </c>
      <c r="I50" s="81" t="s">
        <v>158</v>
      </c>
      <c r="J50" s="78" t="s">
        <v>158</v>
      </c>
      <c r="K50" s="77" t="s">
        <v>158</v>
      </c>
      <c r="L50" s="77" t="s">
        <v>6</v>
      </c>
      <c r="M50" s="86" t="s">
        <v>158</v>
      </c>
      <c r="N50" s="77" t="s">
        <v>57</v>
      </c>
      <c r="O50" s="77" t="s">
        <v>272</v>
      </c>
      <c r="P50" s="77" t="s">
        <v>23</v>
      </c>
    </row>
    <row r="51" spans="2:16">
      <c r="B51" s="74" t="str">
        <f>IF(LEN(D51)&lt;10,CONCATENATE(LEFT(Inventario[[#This Row],[Área]],11),REPT(0,(10-LEN(D51))),D51),CONCATENATE(Inventario[Área],D51))</f>
        <v>1.0.0.0.3- 0000000297</v>
      </c>
      <c r="C51" s="87"/>
      <c r="D51" s="76">
        <v>297</v>
      </c>
      <c r="E51" s="77">
        <v>1</v>
      </c>
      <c r="F51" s="77" t="s">
        <v>312</v>
      </c>
      <c r="G51" s="77" t="s">
        <v>158</v>
      </c>
      <c r="H51" s="77" t="s">
        <v>158</v>
      </c>
      <c r="I51" s="81" t="s">
        <v>158</v>
      </c>
      <c r="J51" s="78" t="s">
        <v>158</v>
      </c>
      <c r="K51" s="77" t="s">
        <v>158</v>
      </c>
      <c r="L51" s="77" t="s">
        <v>6</v>
      </c>
      <c r="M51" s="86" t="s">
        <v>158</v>
      </c>
      <c r="N51" s="77" t="s">
        <v>57</v>
      </c>
      <c r="O51" s="77" t="s">
        <v>272</v>
      </c>
      <c r="P51" s="77" t="s">
        <v>23</v>
      </c>
    </row>
    <row r="52" spans="2:16">
      <c r="B52" s="74" t="str">
        <f>IF(LEN(D52)&lt;10,CONCATENATE(LEFT(Inventario[[#This Row],[Área]],11),REPT(0,(10-LEN(D52))),D52),CONCATENATE(Inventario[Área],D52))</f>
        <v>1.0.0.0.3- 0000000296</v>
      </c>
      <c r="C52" s="87"/>
      <c r="D52" s="76">
        <v>296</v>
      </c>
      <c r="E52" s="77">
        <v>1</v>
      </c>
      <c r="F52" s="77" t="s">
        <v>312</v>
      </c>
      <c r="G52" s="77" t="s">
        <v>158</v>
      </c>
      <c r="H52" s="77" t="s">
        <v>158</v>
      </c>
      <c r="I52" s="81" t="s">
        <v>158</v>
      </c>
      <c r="J52" s="78" t="s">
        <v>158</v>
      </c>
      <c r="K52" s="77" t="s">
        <v>158</v>
      </c>
      <c r="L52" s="77" t="s">
        <v>6</v>
      </c>
      <c r="M52" s="86" t="s">
        <v>158</v>
      </c>
      <c r="N52" s="77" t="s">
        <v>57</v>
      </c>
      <c r="O52" s="77" t="s">
        <v>272</v>
      </c>
      <c r="P52" s="77" t="s">
        <v>23</v>
      </c>
    </row>
    <row r="53" spans="2:16">
      <c r="B53" s="74" t="str">
        <f>IF(LEN(D53)&lt;10,CONCATENATE(LEFT(Inventario[[#This Row],[Área]],11),REPT(0,(10-LEN(D53))),D53),CONCATENATE(Inventario[Área],D53))</f>
        <v>1.0.0.0.3- 0000000295</v>
      </c>
      <c r="C53" s="87"/>
      <c r="D53" s="76">
        <v>295</v>
      </c>
      <c r="E53" s="77">
        <v>1</v>
      </c>
      <c r="F53" s="77" t="s">
        <v>312</v>
      </c>
      <c r="G53" s="77" t="s">
        <v>158</v>
      </c>
      <c r="H53" s="77" t="s">
        <v>158</v>
      </c>
      <c r="I53" s="81" t="s">
        <v>158</v>
      </c>
      <c r="J53" s="78" t="s">
        <v>158</v>
      </c>
      <c r="K53" s="77" t="s">
        <v>158</v>
      </c>
      <c r="L53" s="77" t="s">
        <v>6</v>
      </c>
      <c r="M53" s="86" t="s">
        <v>158</v>
      </c>
      <c r="N53" s="77" t="s">
        <v>57</v>
      </c>
      <c r="O53" s="77" t="s">
        <v>272</v>
      </c>
      <c r="P53" s="77" t="s">
        <v>23</v>
      </c>
    </row>
    <row r="54" spans="2:16">
      <c r="B54" s="74" t="str">
        <f>IF(LEN(D54)&lt;10,CONCATENATE(LEFT(Inventario[[#This Row],[Área]],11),REPT(0,(10-LEN(D54))),D54),CONCATENATE(Inventario[Área],D54))</f>
        <v>1.0.0.0.3- 0000000294</v>
      </c>
      <c r="C54" s="87"/>
      <c r="D54" s="76">
        <v>294</v>
      </c>
      <c r="E54" s="77">
        <v>1</v>
      </c>
      <c r="F54" s="77" t="s">
        <v>312</v>
      </c>
      <c r="G54" s="77" t="s">
        <v>158</v>
      </c>
      <c r="H54" s="77" t="s">
        <v>158</v>
      </c>
      <c r="I54" s="81" t="s">
        <v>158</v>
      </c>
      <c r="J54" s="78" t="s">
        <v>158</v>
      </c>
      <c r="K54" s="77" t="s">
        <v>158</v>
      </c>
      <c r="L54" s="77" t="s">
        <v>6</v>
      </c>
      <c r="M54" s="86" t="s">
        <v>158</v>
      </c>
      <c r="N54" s="77" t="s">
        <v>57</v>
      </c>
      <c r="O54" s="77" t="s">
        <v>272</v>
      </c>
      <c r="P54" s="77" t="s">
        <v>23</v>
      </c>
    </row>
    <row r="55" spans="2:16">
      <c r="B55" s="74" t="str">
        <f>IF(LEN(D55)&lt;10,CONCATENATE(LEFT(Inventario[[#This Row],[Área]],11),REPT(0,(10-LEN(D55))),D55),CONCATENATE(Inventario[Área],D55))</f>
        <v>1.0.0.0.3- 0000000293</v>
      </c>
      <c r="C55" s="87"/>
      <c r="D55" s="76">
        <v>293</v>
      </c>
      <c r="E55" s="77">
        <v>1</v>
      </c>
      <c r="F55" s="77" t="s">
        <v>312</v>
      </c>
      <c r="G55" s="77" t="s">
        <v>158</v>
      </c>
      <c r="H55" s="77" t="s">
        <v>158</v>
      </c>
      <c r="I55" s="81" t="s">
        <v>158</v>
      </c>
      <c r="J55" s="78" t="s">
        <v>158</v>
      </c>
      <c r="K55" s="77" t="s">
        <v>158</v>
      </c>
      <c r="L55" s="77" t="s">
        <v>6</v>
      </c>
      <c r="M55" s="86" t="s">
        <v>158</v>
      </c>
      <c r="N55" s="77" t="s">
        <v>57</v>
      </c>
      <c r="O55" s="77" t="s">
        <v>272</v>
      </c>
      <c r="P55" s="77" t="s">
        <v>23</v>
      </c>
    </row>
    <row r="56" spans="2:16">
      <c r="B56" s="74" t="str">
        <f>IF(LEN(D56)&lt;10,CONCATENATE(LEFT(Inventario[[#This Row],[Área]],11),REPT(0,(10-LEN(D56))),D56),CONCATENATE(Inventario[Área],D56))</f>
        <v>1.0.0.0.3- 0000000292</v>
      </c>
      <c r="C56" s="87"/>
      <c r="D56" s="76">
        <v>292</v>
      </c>
      <c r="E56" s="77">
        <v>1</v>
      </c>
      <c r="F56" s="77" t="s">
        <v>312</v>
      </c>
      <c r="G56" s="77" t="s">
        <v>158</v>
      </c>
      <c r="H56" s="77" t="s">
        <v>158</v>
      </c>
      <c r="I56" s="81" t="s">
        <v>158</v>
      </c>
      <c r="J56" s="78" t="s">
        <v>158</v>
      </c>
      <c r="K56" s="77" t="s">
        <v>158</v>
      </c>
      <c r="L56" s="77" t="s">
        <v>6</v>
      </c>
      <c r="M56" s="86" t="s">
        <v>158</v>
      </c>
      <c r="N56" s="77" t="s">
        <v>57</v>
      </c>
      <c r="O56" s="77" t="s">
        <v>272</v>
      </c>
      <c r="P56" s="77" t="s">
        <v>23</v>
      </c>
    </row>
    <row r="57" spans="2:16">
      <c r="B57" s="74" t="str">
        <f>IF(LEN(D57)&lt;10,CONCATENATE(LEFT(Inventario[[#This Row],[Área]],11),REPT(0,(10-LEN(D57))),D57),CONCATENATE(Inventario[Área],D57))</f>
        <v>1.0.0.0.3- 0000000291</v>
      </c>
      <c r="C57" s="87"/>
      <c r="D57" s="76">
        <v>291</v>
      </c>
      <c r="E57" s="77">
        <v>1</v>
      </c>
      <c r="F57" s="77" t="s">
        <v>312</v>
      </c>
      <c r="G57" s="77" t="s">
        <v>158</v>
      </c>
      <c r="H57" s="77" t="s">
        <v>158</v>
      </c>
      <c r="I57" s="81" t="s">
        <v>158</v>
      </c>
      <c r="J57" s="78" t="s">
        <v>158</v>
      </c>
      <c r="K57" s="77" t="s">
        <v>158</v>
      </c>
      <c r="L57" s="77" t="s">
        <v>6</v>
      </c>
      <c r="M57" s="86" t="s">
        <v>158</v>
      </c>
      <c r="N57" s="77" t="s">
        <v>57</v>
      </c>
      <c r="O57" s="77" t="s">
        <v>272</v>
      </c>
      <c r="P57" s="77" t="s">
        <v>23</v>
      </c>
    </row>
    <row r="58" spans="2:16">
      <c r="B58" s="74" t="str">
        <f>IF(LEN(D58)&lt;10,CONCATENATE(LEFT(Inventario[[#This Row],[Área]],11),REPT(0,(10-LEN(D58))),D58),CONCATENATE(Inventario[Área],D58))</f>
        <v>1.0.0.0.3- 0000000290</v>
      </c>
      <c r="C58" s="87"/>
      <c r="D58" s="76">
        <v>290</v>
      </c>
      <c r="E58" s="77">
        <v>1</v>
      </c>
      <c r="F58" s="77" t="s">
        <v>312</v>
      </c>
      <c r="G58" s="77" t="s">
        <v>158</v>
      </c>
      <c r="H58" s="77" t="s">
        <v>158</v>
      </c>
      <c r="I58" s="81" t="s">
        <v>158</v>
      </c>
      <c r="J58" s="78" t="s">
        <v>158</v>
      </c>
      <c r="K58" s="77" t="s">
        <v>158</v>
      </c>
      <c r="L58" s="77" t="s">
        <v>6</v>
      </c>
      <c r="M58" s="86" t="s">
        <v>158</v>
      </c>
      <c r="N58" s="77" t="s">
        <v>57</v>
      </c>
      <c r="O58" s="77" t="s">
        <v>272</v>
      </c>
      <c r="P58" s="77" t="s">
        <v>23</v>
      </c>
    </row>
    <row r="59" spans="2:16">
      <c r="B59" s="74" t="str">
        <f>IF(LEN(D59)&lt;10,CONCATENATE(LEFT(Inventario[[#This Row],[Área]],11),REPT(0,(10-LEN(D59))),D59),CONCATENATE(Inventario[Área],D59))</f>
        <v>1.0.0.0.3- 0000000289</v>
      </c>
      <c r="C59" s="87"/>
      <c r="D59" s="76">
        <v>289</v>
      </c>
      <c r="E59" s="77">
        <v>1</v>
      </c>
      <c r="F59" s="77" t="s">
        <v>312</v>
      </c>
      <c r="G59" s="77" t="s">
        <v>158</v>
      </c>
      <c r="H59" s="77" t="s">
        <v>158</v>
      </c>
      <c r="I59" s="81" t="s">
        <v>158</v>
      </c>
      <c r="J59" s="78" t="s">
        <v>158</v>
      </c>
      <c r="K59" s="77" t="s">
        <v>158</v>
      </c>
      <c r="L59" s="77" t="s">
        <v>6</v>
      </c>
      <c r="M59" s="86" t="s">
        <v>158</v>
      </c>
      <c r="N59" s="77" t="s">
        <v>57</v>
      </c>
      <c r="O59" s="77" t="s">
        <v>272</v>
      </c>
      <c r="P59" s="77" t="s">
        <v>23</v>
      </c>
    </row>
    <row r="60" spans="2:16">
      <c r="B60" s="74" t="str">
        <f>IF(LEN(D60)&lt;10,CONCATENATE(LEFT(Inventario[[#This Row],[Área]],11),REPT(0,(10-LEN(D60))),D60),CONCATENATE(Inventario[Área],D60))</f>
        <v>1.0.0.0.3- 0000000288</v>
      </c>
      <c r="C60" s="87"/>
      <c r="D60" s="76">
        <v>288</v>
      </c>
      <c r="E60" s="77">
        <v>1</v>
      </c>
      <c r="F60" s="77" t="s">
        <v>312</v>
      </c>
      <c r="G60" s="77" t="s">
        <v>158</v>
      </c>
      <c r="H60" s="77" t="s">
        <v>158</v>
      </c>
      <c r="I60" s="81" t="s">
        <v>158</v>
      </c>
      <c r="J60" s="78" t="s">
        <v>158</v>
      </c>
      <c r="K60" s="77" t="s">
        <v>158</v>
      </c>
      <c r="L60" s="77" t="s">
        <v>6</v>
      </c>
      <c r="M60" s="86" t="s">
        <v>158</v>
      </c>
      <c r="N60" s="77" t="s">
        <v>57</v>
      </c>
      <c r="O60" s="77" t="s">
        <v>272</v>
      </c>
      <c r="P60" s="77" t="s">
        <v>23</v>
      </c>
    </row>
    <row r="61" spans="2:16">
      <c r="B61" s="74" t="str">
        <f>IF(LEN(D61)&lt;10,CONCATENATE(LEFT(Inventario[[#This Row],[Área]],11),REPT(0,(10-LEN(D61))),D61),CONCATENATE(Inventario[Área],D61))</f>
        <v>1.0.0.0.3- 0000000287</v>
      </c>
      <c r="C61" s="87"/>
      <c r="D61" s="76">
        <v>287</v>
      </c>
      <c r="E61" s="77">
        <v>1</v>
      </c>
      <c r="F61" s="77" t="s">
        <v>312</v>
      </c>
      <c r="G61" s="77" t="s">
        <v>158</v>
      </c>
      <c r="H61" s="77" t="s">
        <v>158</v>
      </c>
      <c r="I61" s="81" t="s">
        <v>158</v>
      </c>
      <c r="J61" s="78" t="s">
        <v>158</v>
      </c>
      <c r="K61" s="77" t="s">
        <v>158</v>
      </c>
      <c r="L61" s="77" t="s">
        <v>6</v>
      </c>
      <c r="M61" s="86" t="s">
        <v>158</v>
      </c>
      <c r="N61" s="77" t="s">
        <v>57</v>
      </c>
      <c r="O61" s="77" t="s">
        <v>272</v>
      </c>
      <c r="P61" s="77" t="s">
        <v>23</v>
      </c>
    </row>
    <row r="62" spans="2:16">
      <c r="B62" s="74" t="str">
        <f>IF(LEN(D62)&lt;10,CONCATENATE(LEFT(Inventario[[#This Row],[Área]],11),REPT(0,(10-LEN(D62))),D62),CONCATENATE(Inventario[Área],D62))</f>
        <v>1.0.0.0.3- 0000000286</v>
      </c>
      <c r="C62" s="87"/>
      <c r="D62" s="76">
        <v>286</v>
      </c>
      <c r="E62" s="77">
        <v>1</v>
      </c>
      <c r="F62" s="77" t="s">
        <v>312</v>
      </c>
      <c r="G62" s="77" t="s">
        <v>158</v>
      </c>
      <c r="H62" s="77" t="s">
        <v>158</v>
      </c>
      <c r="I62" s="81" t="s">
        <v>158</v>
      </c>
      <c r="J62" s="78" t="s">
        <v>158</v>
      </c>
      <c r="K62" s="77" t="s">
        <v>158</v>
      </c>
      <c r="L62" s="77" t="s">
        <v>6</v>
      </c>
      <c r="M62" s="86" t="s">
        <v>158</v>
      </c>
      <c r="N62" s="77" t="s">
        <v>57</v>
      </c>
      <c r="O62" s="77" t="s">
        <v>272</v>
      </c>
      <c r="P62" s="77" t="s">
        <v>23</v>
      </c>
    </row>
    <row r="63" spans="2:16">
      <c r="B63" s="74" t="str">
        <f>IF(LEN(D63)&lt;10,CONCATENATE(LEFT(Inventario[[#This Row],[Área]],11),REPT(0,(10-LEN(D63))),D63),CONCATENATE(Inventario[Área],D63))</f>
        <v>1.0.0.0.3- 0000000285</v>
      </c>
      <c r="C63" s="87"/>
      <c r="D63" s="76">
        <v>285</v>
      </c>
      <c r="E63" s="77">
        <v>1</v>
      </c>
      <c r="F63" s="77" t="s">
        <v>306</v>
      </c>
      <c r="G63" s="77" t="s">
        <v>158</v>
      </c>
      <c r="H63" s="77" t="s">
        <v>158</v>
      </c>
      <c r="I63" s="81" t="s">
        <v>158</v>
      </c>
      <c r="J63" s="78" t="s">
        <v>158</v>
      </c>
      <c r="K63" s="77" t="s">
        <v>158</v>
      </c>
      <c r="L63" s="77" t="s">
        <v>6</v>
      </c>
      <c r="M63" s="86" t="s">
        <v>158</v>
      </c>
      <c r="N63" s="77" t="s">
        <v>57</v>
      </c>
      <c r="O63" s="77" t="s">
        <v>272</v>
      </c>
      <c r="P63" s="77" t="s">
        <v>23</v>
      </c>
    </row>
    <row r="64" spans="2:16">
      <c r="B64" s="74" t="str">
        <f>IF(LEN(D64)&lt;10,CONCATENATE(LEFT(Inventario[[#This Row],[Área]],11),REPT(0,(10-LEN(D64))),D64),CONCATENATE(Inventario[Área],D64))</f>
        <v>1.0.0.0.3- 0000000284</v>
      </c>
      <c r="C64" s="87"/>
      <c r="D64" s="76">
        <v>284</v>
      </c>
      <c r="E64" s="77">
        <v>1</v>
      </c>
      <c r="F64" s="77" t="s">
        <v>307</v>
      </c>
      <c r="G64" s="77" t="s">
        <v>158</v>
      </c>
      <c r="H64" s="77" t="s">
        <v>158</v>
      </c>
      <c r="I64" s="81" t="s">
        <v>158</v>
      </c>
      <c r="J64" s="78" t="s">
        <v>158</v>
      </c>
      <c r="K64" s="77" t="s">
        <v>158</v>
      </c>
      <c r="L64" s="77" t="s">
        <v>6</v>
      </c>
      <c r="M64" s="86" t="s">
        <v>158</v>
      </c>
      <c r="N64" s="77" t="s">
        <v>57</v>
      </c>
      <c r="O64" s="77" t="s">
        <v>272</v>
      </c>
      <c r="P64" s="77" t="s">
        <v>23</v>
      </c>
    </row>
    <row r="65" spans="2:16">
      <c r="B65" s="74" t="str">
        <f>IF(LEN(D65)&lt;10,CONCATENATE(LEFT(Inventario[[#This Row],[Área]],11),REPT(0,(10-LEN(D65))),D65),CONCATENATE(Inventario[Área],D65))</f>
        <v>1.0.0.0.3- 0000000283</v>
      </c>
      <c r="C65" s="87"/>
      <c r="D65" s="76">
        <v>283</v>
      </c>
      <c r="E65" s="77">
        <v>1</v>
      </c>
      <c r="F65" s="77" t="s">
        <v>294</v>
      </c>
      <c r="G65" s="77" t="s">
        <v>158</v>
      </c>
      <c r="H65" s="77" t="s">
        <v>158</v>
      </c>
      <c r="I65" s="81" t="s">
        <v>158</v>
      </c>
      <c r="J65" s="78" t="s">
        <v>158</v>
      </c>
      <c r="K65" s="77" t="s">
        <v>158</v>
      </c>
      <c r="L65" s="77" t="s">
        <v>6</v>
      </c>
      <c r="M65" s="86" t="s">
        <v>158</v>
      </c>
      <c r="N65" s="77" t="s">
        <v>57</v>
      </c>
      <c r="O65" s="77" t="s">
        <v>272</v>
      </c>
      <c r="P65" s="77" t="s">
        <v>23</v>
      </c>
    </row>
    <row r="66" spans="2:16">
      <c r="B66" s="74" t="str">
        <f>IF(LEN(D66)&lt;10,CONCATENATE(LEFT(Inventario[[#This Row],[Área]],11),REPT(0,(10-LEN(D66))),D66),CONCATENATE(Inventario[Área],D66))</f>
        <v>1.0.0.0.3- 0000000282</v>
      </c>
      <c r="C66" s="87"/>
      <c r="D66" s="76">
        <v>282</v>
      </c>
      <c r="E66" s="77">
        <v>1</v>
      </c>
      <c r="F66" s="77" t="s">
        <v>294</v>
      </c>
      <c r="G66" s="77" t="s">
        <v>158</v>
      </c>
      <c r="H66" s="77" t="s">
        <v>158</v>
      </c>
      <c r="I66" s="81" t="s">
        <v>158</v>
      </c>
      <c r="J66" s="78" t="s">
        <v>158</v>
      </c>
      <c r="K66" s="77" t="s">
        <v>158</v>
      </c>
      <c r="L66" s="77" t="s">
        <v>6</v>
      </c>
      <c r="M66" s="86" t="s">
        <v>158</v>
      </c>
      <c r="N66" s="77" t="s">
        <v>57</v>
      </c>
      <c r="O66" s="77" t="s">
        <v>272</v>
      </c>
      <c r="P66" s="77" t="s">
        <v>23</v>
      </c>
    </row>
    <row r="67" spans="2:16">
      <c r="B67" s="74" t="str">
        <f>IF(LEN(D67)&lt;10,CONCATENATE(LEFT(Inventario[[#This Row],[Área]],11),REPT(0,(10-LEN(D67))),D67),CONCATENATE(Inventario[Área],D67))</f>
        <v>1.3.4.0.0- 0000000281</v>
      </c>
      <c r="C67" s="87"/>
      <c r="D67" s="76">
        <v>281</v>
      </c>
      <c r="E67" s="77">
        <v>1</v>
      </c>
      <c r="F67" s="77" t="s">
        <v>311</v>
      </c>
      <c r="G67" s="77" t="s">
        <v>158</v>
      </c>
      <c r="H67" s="77" t="s">
        <v>158</v>
      </c>
      <c r="I67" s="81" t="s">
        <v>158</v>
      </c>
      <c r="J67" s="78" t="s">
        <v>158</v>
      </c>
      <c r="K67" s="77" t="s">
        <v>158</v>
      </c>
      <c r="L67" s="77" t="s">
        <v>6</v>
      </c>
      <c r="M67" s="86" t="s">
        <v>158</v>
      </c>
      <c r="N67" s="77" t="s">
        <v>133</v>
      </c>
      <c r="O67" s="77" t="s">
        <v>178</v>
      </c>
      <c r="P67" s="77" t="s">
        <v>23</v>
      </c>
    </row>
    <row r="68" spans="2:16">
      <c r="B68" s="74" t="str">
        <f>IF(LEN(D68)&lt;10,CONCATENATE(LEFT(Inventario[[#This Row],[Área]],11),REPT(0,(10-LEN(D68))),D68),CONCATENATE(Inventario[Área],D68))</f>
        <v>1.3.4.0.0- 0000000280</v>
      </c>
      <c r="C68" s="87"/>
      <c r="D68" s="76">
        <v>280</v>
      </c>
      <c r="E68" s="77">
        <v>1</v>
      </c>
      <c r="F68" s="77" t="s">
        <v>311</v>
      </c>
      <c r="G68" s="77" t="s">
        <v>158</v>
      </c>
      <c r="H68" s="77" t="s">
        <v>158</v>
      </c>
      <c r="I68" s="81" t="s">
        <v>158</v>
      </c>
      <c r="J68" s="78" t="s">
        <v>158</v>
      </c>
      <c r="K68" s="77" t="s">
        <v>158</v>
      </c>
      <c r="L68" s="77" t="s">
        <v>6</v>
      </c>
      <c r="M68" s="86" t="s">
        <v>158</v>
      </c>
      <c r="N68" s="77" t="s">
        <v>133</v>
      </c>
      <c r="O68" s="77" t="s">
        <v>178</v>
      </c>
      <c r="P68" s="77" t="s">
        <v>23</v>
      </c>
    </row>
    <row r="69" spans="2:16">
      <c r="B69" s="74" t="str">
        <f>IF(LEN(D69)&lt;10,CONCATENATE(LEFT(Inventario[[#This Row],[Área]],11),REPT(0,(10-LEN(D69))),D69),CONCATENATE(Inventario[Área],D69))</f>
        <v>1.3.4.0.0- 0000000279</v>
      </c>
      <c r="C69" s="87"/>
      <c r="D69" s="76">
        <v>279</v>
      </c>
      <c r="E69" s="77">
        <v>1</v>
      </c>
      <c r="F69" s="77" t="s">
        <v>311</v>
      </c>
      <c r="G69" s="77" t="s">
        <v>158</v>
      </c>
      <c r="H69" s="77" t="s">
        <v>158</v>
      </c>
      <c r="I69" s="81" t="s">
        <v>158</v>
      </c>
      <c r="J69" s="78" t="s">
        <v>158</v>
      </c>
      <c r="K69" s="77" t="s">
        <v>158</v>
      </c>
      <c r="L69" s="77" t="s">
        <v>6</v>
      </c>
      <c r="M69" s="86" t="s">
        <v>158</v>
      </c>
      <c r="N69" s="77" t="s">
        <v>133</v>
      </c>
      <c r="O69" s="77" t="s">
        <v>178</v>
      </c>
      <c r="P69" s="77" t="s">
        <v>23</v>
      </c>
    </row>
    <row r="70" spans="2:16">
      <c r="B70" s="74" t="str">
        <f>IF(LEN(D70)&lt;10,CONCATENATE(LEFT(Inventario[[#This Row],[Área]],11),REPT(0,(10-LEN(D70))),D70),CONCATENATE(Inventario[Área],D70))</f>
        <v>1.3.4.0.0- 0000000278</v>
      </c>
      <c r="C70" s="87"/>
      <c r="D70" s="76">
        <v>278</v>
      </c>
      <c r="E70" s="77">
        <v>1</v>
      </c>
      <c r="F70" s="77" t="s">
        <v>311</v>
      </c>
      <c r="G70" s="77" t="s">
        <v>158</v>
      </c>
      <c r="H70" s="77" t="s">
        <v>158</v>
      </c>
      <c r="I70" s="81" t="s">
        <v>158</v>
      </c>
      <c r="J70" s="78" t="s">
        <v>158</v>
      </c>
      <c r="K70" s="77" t="s">
        <v>158</v>
      </c>
      <c r="L70" s="77" t="s">
        <v>6</v>
      </c>
      <c r="M70" s="86" t="s">
        <v>158</v>
      </c>
      <c r="N70" s="77" t="s">
        <v>133</v>
      </c>
      <c r="O70" s="77" t="s">
        <v>178</v>
      </c>
      <c r="P70" s="77" t="s">
        <v>23</v>
      </c>
    </row>
    <row r="71" spans="2:16">
      <c r="B71" s="74" t="str">
        <f>IF(LEN(D71)&lt;10,CONCATENATE(LEFT(Inventario[[#This Row],[Área]],11),REPT(0,(10-LEN(D71))),D71),CONCATENATE(Inventario[Área],D71))</f>
        <v>1.3.4.0.0- 0000000277</v>
      </c>
      <c r="C71" s="87"/>
      <c r="D71" s="76">
        <v>277</v>
      </c>
      <c r="E71" s="77">
        <v>1</v>
      </c>
      <c r="F71" s="77" t="s">
        <v>311</v>
      </c>
      <c r="G71" s="77" t="s">
        <v>158</v>
      </c>
      <c r="H71" s="77" t="s">
        <v>158</v>
      </c>
      <c r="I71" s="81" t="s">
        <v>158</v>
      </c>
      <c r="J71" s="78" t="s">
        <v>158</v>
      </c>
      <c r="K71" s="77" t="s">
        <v>158</v>
      </c>
      <c r="L71" s="77" t="s">
        <v>6</v>
      </c>
      <c r="M71" s="86" t="s">
        <v>158</v>
      </c>
      <c r="N71" s="77" t="s">
        <v>133</v>
      </c>
      <c r="O71" s="77" t="s">
        <v>178</v>
      </c>
      <c r="P71" s="77" t="s">
        <v>23</v>
      </c>
    </row>
    <row r="72" spans="2:16">
      <c r="B72" s="74" t="str">
        <f>IF(LEN(D72)&lt;10,CONCATENATE(LEFT(Inventario[[#This Row],[Área]],11),REPT(0,(10-LEN(D72))),D72),CONCATENATE(Inventario[Área],D72))</f>
        <v>1.3.4.0.0- 0000000276</v>
      </c>
      <c r="C72" s="87"/>
      <c r="D72" s="76">
        <v>276</v>
      </c>
      <c r="E72" s="77">
        <v>1</v>
      </c>
      <c r="F72" s="77" t="s">
        <v>311</v>
      </c>
      <c r="G72" s="77" t="s">
        <v>158</v>
      </c>
      <c r="H72" s="77" t="s">
        <v>158</v>
      </c>
      <c r="I72" s="81" t="s">
        <v>158</v>
      </c>
      <c r="J72" s="78" t="s">
        <v>158</v>
      </c>
      <c r="K72" s="77" t="s">
        <v>158</v>
      </c>
      <c r="L72" s="77" t="s">
        <v>6</v>
      </c>
      <c r="M72" s="86" t="s">
        <v>158</v>
      </c>
      <c r="N72" s="77" t="s">
        <v>133</v>
      </c>
      <c r="O72" s="77" t="s">
        <v>178</v>
      </c>
      <c r="P72" s="77" t="s">
        <v>23</v>
      </c>
    </row>
    <row r="73" spans="2:16">
      <c r="B73" s="74" t="str">
        <f>IF(LEN(D73)&lt;10,CONCATENATE(LEFT(Inventario[[#This Row],[Área]],11),REPT(0,(10-LEN(D73))),D73),CONCATENATE(Inventario[Área],D73))</f>
        <v>1.3.4.0.0- 0000000275</v>
      </c>
      <c r="C73" s="87"/>
      <c r="D73" s="76">
        <v>275</v>
      </c>
      <c r="E73" s="77">
        <v>1</v>
      </c>
      <c r="F73" s="77" t="s">
        <v>311</v>
      </c>
      <c r="G73" s="77" t="s">
        <v>158</v>
      </c>
      <c r="H73" s="77" t="s">
        <v>158</v>
      </c>
      <c r="I73" s="81" t="s">
        <v>158</v>
      </c>
      <c r="J73" s="78" t="s">
        <v>158</v>
      </c>
      <c r="K73" s="77" t="s">
        <v>158</v>
      </c>
      <c r="L73" s="77" t="s">
        <v>6</v>
      </c>
      <c r="M73" s="86" t="s">
        <v>158</v>
      </c>
      <c r="N73" s="77" t="s">
        <v>133</v>
      </c>
      <c r="O73" s="77" t="s">
        <v>178</v>
      </c>
      <c r="P73" s="77" t="s">
        <v>23</v>
      </c>
    </row>
    <row r="74" spans="2:16">
      <c r="B74" s="74" t="str">
        <f>IF(LEN(D74)&lt;10,CONCATENATE(LEFT(Inventario[[#This Row],[Área]],11),REPT(0,(10-LEN(D74))),D74),CONCATENATE(Inventario[Área],D74))</f>
        <v>1.3.4.0.0- 0000000274</v>
      </c>
      <c r="C74" s="87"/>
      <c r="D74" s="76">
        <v>274</v>
      </c>
      <c r="E74" s="77">
        <v>1</v>
      </c>
      <c r="F74" s="77" t="s">
        <v>311</v>
      </c>
      <c r="G74" s="77" t="s">
        <v>158</v>
      </c>
      <c r="H74" s="77" t="s">
        <v>158</v>
      </c>
      <c r="I74" s="81" t="s">
        <v>158</v>
      </c>
      <c r="J74" s="78" t="s">
        <v>158</v>
      </c>
      <c r="K74" s="77" t="s">
        <v>158</v>
      </c>
      <c r="L74" s="77" t="s">
        <v>6</v>
      </c>
      <c r="M74" s="86" t="s">
        <v>158</v>
      </c>
      <c r="N74" s="77" t="s">
        <v>133</v>
      </c>
      <c r="O74" s="77" t="s">
        <v>178</v>
      </c>
      <c r="P74" s="77" t="s">
        <v>23</v>
      </c>
    </row>
    <row r="75" spans="2:16">
      <c r="B75" s="74" t="str">
        <f>IF(LEN(D75)&lt;10,CONCATENATE(LEFT(Inventario[[#This Row],[Área]],11),REPT(0,(10-LEN(D75))),D75),CONCATENATE(Inventario[Área],D75))</f>
        <v>1.3.4.0.0- 0000000273</v>
      </c>
      <c r="C75" s="87"/>
      <c r="D75" s="76">
        <v>273</v>
      </c>
      <c r="E75" s="77">
        <v>1</v>
      </c>
      <c r="F75" s="77" t="s">
        <v>310</v>
      </c>
      <c r="G75" s="77" t="s">
        <v>158</v>
      </c>
      <c r="H75" s="77" t="s">
        <v>158</v>
      </c>
      <c r="I75" s="81" t="s">
        <v>158</v>
      </c>
      <c r="J75" s="78" t="s">
        <v>158</v>
      </c>
      <c r="K75" s="77" t="s">
        <v>158</v>
      </c>
      <c r="L75" s="77" t="s">
        <v>6</v>
      </c>
      <c r="M75" s="86" t="s">
        <v>158</v>
      </c>
      <c r="N75" s="77" t="s">
        <v>133</v>
      </c>
      <c r="O75" s="77" t="s">
        <v>178</v>
      </c>
      <c r="P75" s="77" t="s">
        <v>23</v>
      </c>
    </row>
    <row r="76" spans="2:16">
      <c r="B76" s="74" t="str">
        <f>IF(LEN(D76)&lt;10,CONCATENATE(LEFT(Inventario[[#This Row],[Área]],11),REPT(0,(10-LEN(D76))),D76),CONCATENATE(Inventario[Área],D76))</f>
        <v>1.3.4.0.0- 0000000272</v>
      </c>
      <c r="C76" s="87"/>
      <c r="D76" s="76">
        <v>272</v>
      </c>
      <c r="E76" s="77">
        <v>1</v>
      </c>
      <c r="F76" s="77" t="s">
        <v>310</v>
      </c>
      <c r="G76" s="77" t="s">
        <v>158</v>
      </c>
      <c r="H76" s="77" t="s">
        <v>158</v>
      </c>
      <c r="I76" s="81" t="s">
        <v>158</v>
      </c>
      <c r="J76" s="78" t="s">
        <v>158</v>
      </c>
      <c r="K76" s="77" t="s">
        <v>158</v>
      </c>
      <c r="L76" s="77" t="s">
        <v>6</v>
      </c>
      <c r="M76" s="86" t="s">
        <v>158</v>
      </c>
      <c r="N76" s="77" t="s">
        <v>133</v>
      </c>
      <c r="O76" s="77" t="s">
        <v>178</v>
      </c>
      <c r="P76" s="77" t="s">
        <v>23</v>
      </c>
    </row>
    <row r="77" spans="2:16">
      <c r="B77" s="74" t="str">
        <f>IF(LEN(D77)&lt;10,CONCATENATE(LEFT(Inventario[[#This Row],[Área]],11),REPT(0,(10-LEN(D77))),D77),CONCATENATE(Inventario[Área],D77))</f>
        <v>1.3.4.0.0- 0000000271</v>
      </c>
      <c r="C77" s="87"/>
      <c r="D77" s="76">
        <v>271</v>
      </c>
      <c r="E77" s="77">
        <v>1</v>
      </c>
      <c r="F77" s="77" t="s">
        <v>310</v>
      </c>
      <c r="G77" s="77" t="s">
        <v>158</v>
      </c>
      <c r="H77" s="77" t="s">
        <v>158</v>
      </c>
      <c r="I77" s="81" t="s">
        <v>158</v>
      </c>
      <c r="J77" s="78" t="s">
        <v>158</v>
      </c>
      <c r="K77" s="77" t="s">
        <v>158</v>
      </c>
      <c r="L77" s="77" t="s">
        <v>6</v>
      </c>
      <c r="M77" s="86" t="s">
        <v>158</v>
      </c>
      <c r="N77" s="77" t="s">
        <v>133</v>
      </c>
      <c r="O77" s="77" t="s">
        <v>178</v>
      </c>
      <c r="P77" s="77" t="s">
        <v>23</v>
      </c>
    </row>
    <row r="78" spans="2:16">
      <c r="B78" s="74" t="str">
        <f>IF(LEN(D78)&lt;10,CONCATENATE(LEFT(Inventario[[#This Row],[Área]],11),REPT(0,(10-LEN(D78))),D78),CONCATENATE(Inventario[Área],D78))</f>
        <v>1.3.4.0.0- 0000000270</v>
      </c>
      <c r="C78" s="87"/>
      <c r="D78" s="76">
        <v>270</v>
      </c>
      <c r="E78" s="77">
        <v>1</v>
      </c>
      <c r="F78" s="77" t="s">
        <v>310</v>
      </c>
      <c r="G78" s="77" t="s">
        <v>158</v>
      </c>
      <c r="H78" s="77" t="s">
        <v>158</v>
      </c>
      <c r="I78" s="81" t="s">
        <v>158</v>
      </c>
      <c r="J78" s="78" t="s">
        <v>158</v>
      </c>
      <c r="K78" s="77" t="s">
        <v>158</v>
      </c>
      <c r="L78" s="77" t="s">
        <v>6</v>
      </c>
      <c r="M78" s="86" t="s">
        <v>158</v>
      </c>
      <c r="N78" s="77" t="s">
        <v>133</v>
      </c>
      <c r="O78" s="77" t="s">
        <v>178</v>
      </c>
      <c r="P78" s="77" t="s">
        <v>23</v>
      </c>
    </row>
    <row r="79" spans="2:16">
      <c r="B79" s="74" t="str">
        <f>IF(LEN(D79)&lt;10,CONCATENATE(LEFT(Inventario[[#This Row],[Área]],11),REPT(0,(10-LEN(D79))),D79),CONCATENATE(Inventario[Área],D79))</f>
        <v>1.3.4.0.0- 0000000269</v>
      </c>
      <c r="C79" s="87"/>
      <c r="D79" s="76">
        <v>269</v>
      </c>
      <c r="E79" s="77">
        <v>1</v>
      </c>
      <c r="F79" s="77" t="s">
        <v>310</v>
      </c>
      <c r="G79" s="77" t="s">
        <v>158</v>
      </c>
      <c r="H79" s="77" t="s">
        <v>158</v>
      </c>
      <c r="I79" s="81" t="s">
        <v>158</v>
      </c>
      <c r="J79" s="78" t="s">
        <v>158</v>
      </c>
      <c r="K79" s="77" t="s">
        <v>158</v>
      </c>
      <c r="L79" s="77" t="s">
        <v>6</v>
      </c>
      <c r="M79" s="86" t="s">
        <v>158</v>
      </c>
      <c r="N79" s="77" t="s">
        <v>133</v>
      </c>
      <c r="O79" s="77" t="s">
        <v>178</v>
      </c>
      <c r="P79" s="77" t="s">
        <v>23</v>
      </c>
    </row>
    <row r="80" spans="2:16">
      <c r="B80" s="74" t="str">
        <f>IF(LEN(D80)&lt;10,CONCATENATE(LEFT(Inventario[[#This Row],[Área]],11),REPT(0,(10-LEN(D80))),D80),CONCATENATE(Inventario[Área],D80))</f>
        <v>1.3.4.0.0- 0000000268</v>
      </c>
      <c r="C80" s="87"/>
      <c r="D80" s="76">
        <v>268</v>
      </c>
      <c r="E80" s="77">
        <v>1</v>
      </c>
      <c r="F80" s="77" t="s">
        <v>310</v>
      </c>
      <c r="G80" s="77" t="s">
        <v>158</v>
      </c>
      <c r="H80" s="77" t="s">
        <v>158</v>
      </c>
      <c r="I80" s="81" t="s">
        <v>158</v>
      </c>
      <c r="J80" s="78" t="s">
        <v>158</v>
      </c>
      <c r="K80" s="77" t="s">
        <v>158</v>
      </c>
      <c r="L80" s="77" t="s">
        <v>6</v>
      </c>
      <c r="M80" s="86" t="s">
        <v>158</v>
      </c>
      <c r="N80" s="77" t="s">
        <v>133</v>
      </c>
      <c r="O80" s="77" t="s">
        <v>178</v>
      </c>
      <c r="P80" s="77" t="s">
        <v>23</v>
      </c>
    </row>
    <row r="81" spans="2:16">
      <c r="B81" s="74" t="str">
        <f>IF(LEN(D81)&lt;10,CONCATENATE(LEFT(Inventario[[#This Row],[Área]],11),REPT(0,(10-LEN(D81))),D81),CONCATENATE(Inventario[Área],D81))</f>
        <v>1.3.4.0.0- 0000000267</v>
      </c>
      <c r="C81" s="87"/>
      <c r="D81" s="76">
        <v>267</v>
      </c>
      <c r="E81" s="77">
        <v>1</v>
      </c>
      <c r="F81" s="77" t="s">
        <v>310</v>
      </c>
      <c r="G81" s="77" t="s">
        <v>158</v>
      </c>
      <c r="H81" s="77" t="s">
        <v>158</v>
      </c>
      <c r="I81" s="81" t="s">
        <v>158</v>
      </c>
      <c r="J81" s="78" t="s">
        <v>158</v>
      </c>
      <c r="K81" s="77" t="s">
        <v>158</v>
      </c>
      <c r="L81" s="77" t="s">
        <v>6</v>
      </c>
      <c r="M81" s="86" t="s">
        <v>158</v>
      </c>
      <c r="N81" s="77" t="s">
        <v>133</v>
      </c>
      <c r="O81" s="77" t="s">
        <v>178</v>
      </c>
      <c r="P81" s="77" t="s">
        <v>23</v>
      </c>
    </row>
    <row r="82" spans="2:16">
      <c r="B82" s="74" t="str">
        <f>IF(LEN(D82)&lt;10,CONCATENATE(LEFT(Inventario[[#This Row],[Área]],11),REPT(0,(10-LEN(D82))),D82),CONCATENATE(Inventario[Área],D82))</f>
        <v>1.3.4.0.0- 0000000266</v>
      </c>
      <c r="C82" s="87"/>
      <c r="D82" s="76">
        <v>266</v>
      </c>
      <c r="E82" s="77">
        <v>1</v>
      </c>
      <c r="F82" s="77" t="s">
        <v>310</v>
      </c>
      <c r="G82" s="77" t="s">
        <v>158</v>
      </c>
      <c r="H82" s="77" t="s">
        <v>158</v>
      </c>
      <c r="I82" s="81" t="s">
        <v>158</v>
      </c>
      <c r="J82" s="78" t="s">
        <v>158</v>
      </c>
      <c r="K82" s="77" t="s">
        <v>158</v>
      </c>
      <c r="L82" s="77" t="s">
        <v>6</v>
      </c>
      <c r="M82" s="86" t="s">
        <v>158</v>
      </c>
      <c r="N82" s="77" t="s">
        <v>133</v>
      </c>
      <c r="O82" s="77" t="s">
        <v>178</v>
      </c>
      <c r="P82" s="77" t="s">
        <v>23</v>
      </c>
    </row>
    <row r="83" spans="2:16">
      <c r="B83" s="74" t="str">
        <f>IF(LEN(D83)&lt;10,CONCATENATE(LEFT(Inventario[[#This Row],[Área]],11),REPT(0,(10-LEN(D83))),D83),CONCATENATE(Inventario[Área],D83))</f>
        <v>1.3.4.0.0- 0000000265</v>
      </c>
      <c r="C83" s="87"/>
      <c r="D83" s="76">
        <v>265</v>
      </c>
      <c r="E83" s="77">
        <v>1</v>
      </c>
      <c r="F83" s="77" t="s">
        <v>310</v>
      </c>
      <c r="G83" s="77" t="s">
        <v>158</v>
      </c>
      <c r="H83" s="77" t="s">
        <v>158</v>
      </c>
      <c r="I83" s="81" t="s">
        <v>158</v>
      </c>
      <c r="J83" s="78" t="s">
        <v>158</v>
      </c>
      <c r="K83" s="77" t="s">
        <v>158</v>
      </c>
      <c r="L83" s="77" t="s">
        <v>6</v>
      </c>
      <c r="M83" s="86" t="s">
        <v>158</v>
      </c>
      <c r="N83" s="77" t="s">
        <v>133</v>
      </c>
      <c r="O83" s="77" t="s">
        <v>178</v>
      </c>
      <c r="P83" s="77" t="s">
        <v>23</v>
      </c>
    </row>
    <row r="84" spans="2:16">
      <c r="B84" s="74" t="str">
        <f>IF(LEN(D84)&lt;10,CONCATENATE(LEFT(Inventario[[#This Row],[Área]],11),REPT(0,(10-LEN(D84))),D84),CONCATENATE(Inventario[Área],D84))</f>
        <v>1.3.4.0.0- 0000000264</v>
      </c>
      <c r="C84" s="87"/>
      <c r="D84" s="76">
        <v>264</v>
      </c>
      <c r="E84" s="77">
        <v>1</v>
      </c>
      <c r="F84" s="77" t="s">
        <v>309</v>
      </c>
      <c r="G84" s="77" t="s">
        <v>158</v>
      </c>
      <c r="H84" s="77" t="s">
        <v>158</v>
      </c>
      <c r="I84" s="81" t="s">
        <v>158</v>
      </c>
      <c r="J84" s="78" t="s">
        <v>158</v>
      </c>
      <c r="K84" s="77" t="s">
        <v>158</v>
      </c>
      <c r="L84" s="77" t="s">
        <v>6</v>
      </c>
      <c r="M84" s="86" t="s">
        <v>158</v>
      </c>
      <c r="N84" s="77" t="s">
        <v>133</v>
      </c>
      <c r="O84" s="77" t="s">
        <v>178</v>
      </c>
      <c r="P84" s="77" t="s">
        <v>23</v>
      </c>
    </row>
    <row r="85" spans="2:16">
      <c r="B85" s="74" t="str">
        <f>IF(LEN(D85)&lt;10,CONCATENATE(LEFT(Inventario[[#This Row],[Área]],11),REPT(0,(10-LEN(D85))),D85),CONCATENATE(Inventario[Área],D85))</f>
        <v>1.3.4.0.0- 0000000263</v>
      </c>
      <c r="C85" s="87"/>
      <c r="D85" s="76">
        <v>263</v>
      </c>
      <c r="E85" s="77">
        <v>1</v>
      </c>
      <c r="F85" s="77" t="s">
        <v>309</v>
      </c>
      <c r="G85" s="77" t="s">
        <v>158</v>
      </c>
      <c r="H85" s="77" t="s">
        <v>158</v>
      </c>
      <c r="I85" s="81" t="s">
        <v>158</v>
      </c>
      <c r="J85" s="78" t="s">
        <v>158</v>
      </c>
      <c r="K85" s="77" t="s">
        <v>158</v>
      </c>
      <c r="L85" s="77" t="s">
        <v>6</v>
      </c>
      <c r="M85" s="86" t="s">
        <v>158</v>
      </c>
      <c r="N85" s="77" t="s">
        <v>133</v>
      </c>
      <c r="O85" s="77" t="s">
        <v>178</v>
      </c>
      <c r="P85" s="77" t="s">
        <v>23</v>
      </c>
    </row>
    <row r="86" spans="2:16">
      <c r="B86" s="74" t="str">
        <f>IF(LEN(D86)&lt;10,CONCATENATE(LEFT(Inventario[[#This Row],[Área]],11),REPT(0,(10-LEN(D86))),D86),CONCATENATE(Inventario[Área],D86))</f>
        <v>1.3.4.0.0- 0000000262</v>
      </c>
      <c r="C86" s="87"/>
      <c r="D86" s="76">
        <v>262</v>
      </c>
      <c r="E86" s="77">
        <v>1</v>
      </c>
      <c r="F86" s="77" t="s">
        <v>309</v>
      </c>
      <c r="G86" s="77" t="s">
        <v>158</v>
      </c>
      <c r="H86" s="77" t="s">
        <v>158</v>
      </c>
      <c r="I86" s="81" t="s">
        <v>158</v>
      </c>
      <c r="J86" s="78" t="s">
        <v>158</v>
      </c>
      <c r="K86" s="77" t="s">
        <v>158</v>
      </c>
      <c r="L86" s="77" t="s">
        <v>6</v>
      </c>
      <c r="M86" s="86" t="s">
        <v>158</v>
      </c>
      <c r="N86" s="77" t="s">
        <v>133</v>
      </c>
      <c r="O86" s="77" t="s">
        <v>178</v>
      </c>
      <c r="P86" s="77" t="s">
        <v>23</v>
      </c>
    </row>
    <row r="87" spans="2:16">
      <c r="B87" s="74" t="str">
        <f>IF(LEN(D87)&lt;10,CONCATENATE(LEFT(Inventario[[#This Row],[Área]],11),REPT(0,(10-LEN(D87))),D87),CONCATENATE(Inventario[Área],D87))</f>
        <v>1.3.4.0.0- 0000000261</v>
      </c>
      <c r="C87" s="87"/>
      <c r="D87" s="76">
        <v>261</v>
      </c>
      <c r="E87" s="77">
        <v>1</v>
      </c>
      <c r="F87" s="77" t="s">
        <v>308</v>
      </c>
      <c r="G87" s="77" t="s">
        <v>158</v>
      </c>
      <c r="H87" s="77" t="s">
        <v>158</v>
      </c>
      <c r="I87" s="81" t="s">
        <v>158</v>
      </c>
      <c r="J87" s="78" t="s">
        <v>158</v>
      </c>
      <c r="K87" s="77" t="s">
        <v>158</v>
      </c>
      <c r="L87" s="77" t="s">
        <v>6</v>
      </c>
      <c r="M87" s="86" t="s">
        <v>158</v>
      </c>
      <c r="N87" s="77" t="s">
        <v>133</v>
      </c>
      <c r="O87" s="77" t="s">
        <v>178</v>
      </c>
      <c r="P87" s="77" t="s">
        <v>23</v>
      </c>
    </row>
    <row r="88" spans="2:16">
      <c r="B88" s="74" t="str">
        <f>IF(LEN(D88)&lt;10,CONCATENATE(LEFT(Inventario[[#This Row],[Área]],11),REPT(0,(10-LEN(D88))),D88),CONCATENATE(Inventario[Área],D88))</f>
        <v>1.3.4.0.0- 0000000260</v>
      </c>
      <c r="C88" s="87"/>
      <c r="D88" s="76">
        <v>260</v>
      </c>
      <c r="E88" s="77">
        <v>1</v>
      </c>
      <c r="F88" s="77" t="s">
        <v>308</v>
      </c>
      <c r="G88" s="77" t="s">
        <v>158</v>
      </c>
      <c r="H88" s="77" t="s">
        <v>158</v>
      </c>
      <c r="I88" s="81" t="s">
        <v>158</v>
      </c>
      <c r="J88" s="78" t="s">
        <v>158</v>
      </c>
      <c r="K88" s="77" t="s">
        <v>158</v>
      </c>
      <c r="L88" s="77" t="s">
        <v>6</v>
      </c>
      <c r="M88" s="86" t="s">
        <v>158</v>
      </c>
      <c r="N88" s="77" t="s">
        <v>133</v>
      </c>
      <c r="O88" s="77" t="s">
        <v>178</v>
      </c>
      <c r="P88" s="77" t="s">
        <v>23</v>
      </c>
    </row>
    <row r="89" spans="2:16">
      <c r="B89" s="74" t="str">
        <f>IF(LEN(D89)&lt;10,CONCATENATE(LEFT(Inventario[[#This Row],[Área]],11),REPT(0,(10-LEN(D89))),D89),CONCATENATE(Inventario[Área],D89))</f>
        <v>1.3.4.0.0- 0000000259</v>
      </c>
      <c r="C89" s="87"/>
      <c r="D89" s="76">
        <v>259</v>
      </c>
      <c r="E89" s="77">
        <v>1</v>
      </c>
      <c r="F89" s="77" t="s">
        <v>308</v>
      </c>
      <c r="G89" s="77" t="s">
        <v>158</v>
      </c>
      <c r="H89" s="77" t="s">
        <v>158</v>
      </c>
      <c r="I89" s="81" t="s">
        <v>158</v>
      </c>
      <c r="J89" s="78" t="s">
        <v>158</v>
      </c>
      <c r="K89" s="77" t="s">
        <v>158</v>
      </c>
      <c r="L89" s="77" t="s">
        <v>6</v>
      </c>
      <c r="M89" s="86" t="s">
        <v>158</v>
      </c>
      <c r="N89" s="77" t="s">
        <v>133</v>
      </c>
      <c r="O89" s="77" t="s">
        <v>178</v>
      </c>
      <c r="P89" s="77" t="s">
        <v>23</v>
      </c>
    </row>
    <row r="90" spans="2:16">
      <c r="B90" s="74" t="str">
        <f>IF(LEN(D90)&lt;10,CONCATENATE(LEFT(Inventario[[#This Row],[Área]],11),REPT(0,(10-LEN(D90))),D90),CONCATENATE(Inventario[Área],D90))</f>
        <v>1.3.4.0.0- 0000000258</v>
      </c>
      <c r="C90" s="87"/>
      <c r="D90" s="76">
        <v>258</v>
      </c>
      <c r="E90" s="77">
        <v>1</v>
      </c>
      <c r="F90" s="77" t="s">
        <v>308</v>
      </c>
      <c r="G90" s="77" t="s">
        <v>158</v>
      </c>
      <c r="H90" s="77" t="s">
        <v>158</v>
      </c>
      <c r="I90" s="81" t="s">
        <v>158</v>
      </c>
      <c r="J90" s="78" t="s">
        <v>158</v>
      </c>
      <c r="K90" s="77" t="s">
        <v>158</v>
      </c>
      <c r="L90" s="77" t="s">
        <v>6</v>
      </c>
      <c r="M90" s="86" t="s">
        <v>158</v>
      </c>
      <c r="N90" s="77" t="s">
        <v>133</v>
      </c>
      <c r="O90" s="77" t="s">
        <v>178</v>
      </c>
      <c r="P90" s="77" t="s">
        <v>23</v>
      </c>
    </row>
    <row r="91" spans="2:16">
      <c r="B91" s="74" t="str">
        <f>IF(LEN(D91)&lt;10,CONCATENATE(LEFT(Inventario[[#This Row],[Área]],11),REPT(0,(10-LEN(D91))),D91),CONCATENATE(Inventario[Área],D91))</f>
        <v>1.3.4.0.0- 0000000257</v>
      </c>
      <c r="C91" s="87"/>
      <c r="D91" s="76">
        <v>257</v>
      </c>
      <c r="E91" s="77">
        <v>1</v>
      </c>
      <c r="F91" s="77" t="s">
        <v>308</v>
      </c>
      <c r="G91" s="77" t="s">
        <v>158</v>
      </c>
      <c r="H91" s="77" t="s">
        <v>158</v>
      </c>
      <c r="I91" s="81" t="s">
        <v>158</v>
      </c>
      <c r="J91" s="78" t="s">
        <v>158</v>
      </c>
      <c r="K91" s="77" t="s">
        <v>158</v>
      </c>
      <c r="L91" s="77" t="s">
        <v>6</v>
      </c>
      <c r="M91" s="86" t="s">
        <v>158</v>
      </c>
      <c r="N91" s="77" t="s">
        <v>133</v>
      </c>
      <c r="O91" s="77" t="s">
        <v>178</v>
      </c>
      <c r="P91" s="77" t="s">
        <v>23</v>
      </c>
    </row>
    <row r="92" spans="2:16">
      <c r="B92" s="74" t="str">
        <f>IF(LEN(D92)&lt;10,CONCATENATE(LEFT(Inventario[[#This Row],[Área]],11),REPT(0,(10-LEN(D92))),D92),CONCATENATE(Inventario[Área],D92))</f>
        <v>1.3.4.0.0- 0000000256</v>
      </c>
      <c r="C92" s="87"/>
      <c r="D92" s="76">
        <v>256</v>
      </c>
      <c r="E92" s="77">
        <v>1</v>
      </c>
      <c r="F92" s="77" t="s">
        <v>308</v>
      </c>
      <c r="G92" s="77" t="s">
        <v>158</v>
      </c>
      <c r="H92" s="77" t="s">
        <v>158</v>
      </c>
      <c r="I92" s="81" t="s">
        <v>158</v>
      </c>
      <c r="J92" s="78" t="s">
        <v>158</v>
      </c>
      <c r="K92" s="77" t="s">
        <v>158</v>
      </c>
      <c r="L92" s="77" t="s">
        <v>6</v>
      </c>
      <c r="M92" s="86" t="s">
        <v>158</v>
      </c>
      <c r="N92" s="77" t="s">
        <v>133</v>
      </c>
      <c r="O92" s="77" t="s">
        <v>178</v>
      </c>
      <c r="P92" s="77" t="s">
        <v>23</v>
      </c>
    </row>
    <row r="93" spans="2:16">
      <c r="B93" s="74" t="str">
        <f>IF(LEN(D93)&lt;10,CONCATENATE(LEFT(Inventario[[#This Row],[Área]],11),REPT(0,(10-LEN(D93))),D93),CONCATENATE(Inventario[Área],D93))</f>
        <v>1.3.4.0.0- 0000000255</v>
      </c>
      <c r="C93" s="87"/>
      <c r="D93" s="76">
        <v>255</v>
      </c>
      <c r="E93" s="77">
        <v>1</v>
      </c>
      <c r="F93" s="77" t="s">
        <v>308</v>
      </c>
      <c r="G93" s="77" t="s">
        <v>158</v>
      </c>
      <c r="H93" s="77" t="s">
        <v>158</v>
      </c>
      <c r="I93" s="81" t="s">
        <v>158</v>
      </c>
      <c r="J93" s="78" t="s">
        <v>158</v>
      </c>
      <c r="K93" s="77" t="s">
        <v>158</v>
      </c>
      <c r="L93" s="77" t="s">
        <v>6</v>
      </c>
      <c r="M93" s="86" t="s">
        <v>158</v>
      </c>
      <c r="N93" s="77" t="s">
        <v>133</v>
      </c>
      <c r="O93" s="77" t="s">
        <v>178</v>
      </c>
      <c r="P93" s="77" t="s">
        <v>23</v>
      </c>
    </row>
    <row r="94" spans="2:16">
      <c r="B94" s="74" t="str">
        <f>IF(LEN(D94)&lt;10,CONCATENATE(LEFT(Inventario[[#This Row],[Área]],11),REPT(0,(10-LEN(D94))),D94),CONCATENATE(Inventario[Área],D94))</f>
        <v>1.3.4.0.0- 0000000254</v>
      </c>
      <c r="C94" s="87"/>
      <c r="D94" s="76">
        <v>254</v>
      </c>
      <c r="E94" s="77">
        <v>1</v>
      </c>
      <c r="F94" s="77" t="s">
        <v>308</v>
      </c>
      <c r="G94" s="77" t="s">
        <v>158</v>
      </c>
      <c r="H94" s="77" t="s">
        <v>158</v>
      </c>
      <c r="I94" s="81" t="s">
        <v>158</v>
      </c>
      <c r="J94" s="78" t="s">
        <v>158</v>
      </c>
      <c r="K94" s="77" t="s">
        <v>158</v>
      </c>
      <c r="L94" s="77" t="s">
        <v>6</v>
      </c>
      <c r="M94" s="86" t="s">
        <v>158</v>
      </c>
      <c r="N94" s="77" t="s">
        <v>133</v>
      </c>
      <c r="O94" s="77" t="s">
        <v>178</v>
      </c>
      <c r="P94" s="77" t="s">
        <v>23</v>
      </c>
    </row>
    <row r="95" spans="2:16">
      <c r="B95" s="74" t="str">
        <f>IF(LEN(D95)&lt;10,CONCATENATE(LEFT(Inventario[[#This Row],[Área]],11),REPT(0,(10-LEN(D95))),D95),CONCATENATE(Inventario[Área],D95))</f>
        <v>1.3.4.0.0- 0000000253</v>
      </c>
      <c r="C95" s="87"/>
      <c r="D95" s="76">
        <v>253</v>
      </c>
      <c r="E95" s="77">
        <v>1</v>
      </c>
      <c r="F95" s="77" t="s">
        <v>308</v>
      </c>
      <c r="G95" s="77" t="s">
        <v>158</v>
      </c>
      <c r="H95" s="77" t="s">
        <v>158</v>
      </c>
      <c r="I95" s="81" t="s">
        <v>158</v>
      </c>
      <c r="J95" s="78" t="s">
        <v>158</v>
      </c>
      <c r="K95" s="77" t="s">
        <v>158</v>
      </c>
      <c r="L95" s="77" t="s">
        <v>6</v>
      </c>
      <c r="M95" s="86" t="s">
        <v>158</v>
      </c>
      <c r="N95" s="77" t="s">
        <v>133</v>
      </c>
      <c r="O95" s="77" t="s">
        <v>178</v>
      </c>
      <c r="P95" s="77" t="s">
        <v>23</v>
      </c>
    </row>
    <row r="96" spans="2:16">
      <c r="B96" s="74" t="str">
        <f>IF(LEN(D96)&lt;10,CONCATENATE(LEFT(Inventario[[#This Row],[Área]],11),REPT(0,(10-LEN(D96))),D96),CONCATENATE(Inventario[Área],D96))</f>
        <v>1.3.4.0.0- 0000000252</v>
      </c>
      <c r="C96" s="87"/>
      <c r="D96" s="76">
        <v>252</v>
      </c>
      <c r="E96" s="77">
        <v>1</v>
      </c>
      <c r="F96" s="77" t="s">
        <v>308</v>
      </c>
      <c r="G96" s="77" t="s">
        <v>158</v>
      </c>
      <c r="H96" s="77" t="s">
        <v>158</v>
      </c>
      <c r="I96" s="81" t="s">
        <v>158</v>
      </c>
      <c r="J96" s="78" t="s">
        <v>158</v>
      </c>
      <c r="K96" s="77" t="s">
        <v>158</v>
      </c>
      <c r="L96" s="77" t="s">
        <v>6</v>
      </c>
      <c r="M96" s="86" t="s">
        <v>158</v>
      </c>
      <c r="N96" s="77" t="s">
        <v>133</v>
      </c>
      <c r="O96" s="77" t="s">
        <v>178</v>
      </c>
      <c r="P96" s="77" t="s">
        <v>23</v>
      </c>
    </row>
    <row r="97" spans="2:16">
      <c r="B97" s="74" t="str">
        <f>IF(LEN(D97)&lt;10,CONCATENATE(LEFT(Inventario[[#This Row],[Área]],11),REPT(0,(10-LEN(D97))),D97),CONCATENATE(Inventario[Área],D97))</f>
        <v>1.3.4.0.0- 0000000251</v>
      </c>
      <c r="C97" s="87"/>
      <c r="D97" s="76">
        <v>251</v>
      </c>
      <c r="E97" s="77">
        <v>1</v>
      </c>
      <c r="F97" s="77" t="s">
        <v>308</v>
      </c>
      <c r="G97" s="77" t="s">
        <v>158</v>
      </c>
      <c r="H97" s="77" t="s">
        <v>158</v>
      </c>
      <c r="I97" s="81" t="s">
        <v>158</v>
      </c>
      <c r="J97" s="78" t="s">
        <v>158</v>
      </c>
      <c r="K97" s="77" t="s">
        <v>158</v>
      </c>
      <c r="L97" s="77" t="s">
        <v>6</v>
      </c>
      <c r="M97" s="86" t="s">
        <v>158</v>
      </c>
      <c r="N97" s="77" t="s">
        <v>133</v>
      </c>
      <c r="O97" s="77" t="s">
        <v>178</v>
      </c>
      <c r="P97" s="77" t="s">
        <v>23</v>
      </c>
    </row>
    <row r="98" spans="2:16">
      <c r="B98" s="74" t="str">
        <f>IF(LEN(D98)&lt;10,CONCATENATE(LEFT(Inventario[[#This Row],[Área]],11),REPT(0,(10-LEN(D98))),D98),CONCATENATE(Inventario[Área],D98))</f>
        <v>1.3.4.0.0- 0000000250</v>
      </c>
      <c r="C98" s="87"/>
      <c r="D98" s="76">
        <v>250</v>
      </c>
      <c r="E98" s="77">
        <v>1</v>
      </c>
      <c r="F98" s="77" t="s">
        <v>308</v>
      </c>
      <c r="G98" s="77" t="s">
        <v>158</v>
      </c>
      <c r="H98" s="77" t="s">
        <v>158</v>
      </c>
      <c r="I98" s="81" t="s">
        <v>158</v>
      </c>
      <c r="J98" s="78" t="s">
        <v>158</v>
      </c>
      <c r="K98" s="77" t="s">
        <v>158</v>
      </c>
      <c r="L98" s="77" t="s">
        <v>6</v>
      </c>
      <c r="M98" s="86" t="s">
        <v>158</v>
      </c>
      <c r="N98" s="77" t="s">
        <v>133</v>
      </c>
      <c r="O98" s="77" t="s">
        <v>178</v>
      </c>
      <c r="P98" s="77" t="s">
        <v>23</v>
      </c>
    </row>
    <row r="99" spans="2:16">
      <c r="B99" s="74" t="str">
        <f>IF(LEN(D99)&lt;10,CONCATENATE(LEFT(Inventario[[#This Row],[Área]],11),REPT(0,(10-LEN(D99))),D99),CONCATENATE(Inventario[Área],D99))</f>
        <v>1.3.4.0.0- 0000000249</v>
      </c>
      <c r="C99" s="87"/>
      <c r="D99" s="76">
        <v>249</v>
      </c>
      <c r="E99" s="77">
        <v>1</v>
      </c>
      <c r="F99" s="77" t="s">
        <v>308</v>
      </c>
      <c r="G99" s="77" t="s">
        <v>158</v>
      </c>
      <c r="H99" s="77" t="s">
        <v>158</v>
      </c>
      <c r="I99" s="81" t="s">
        <v>158</v>
      </c>
      <c r="J99" s="78" t="s">
        <v>158</v>
      </c>
      <c r="K99" s="77" t="s">
        <v>158</v>
      </c>
      <c r="L99" s="77" t="s">
        <v>6</v>
      </c>
      <c r="M99" s="86" t="s">
        <v>158</v>
      </c>
      <c r="N99" s="77" t="s">
        <v>133</v>
      </c>
      <c r="O99" s="77" t="s">
        <v>178</v>
      </c>
      <c r="P99" s="77" t="s">
        <v>23</v>
      </c>
    </row>
    <row r="100" spans="2:16">
      <c r="B100" s="74" t="str">
        <f>IF(LEN(D100)&lt;10,CONCATENATE(LEFT(Inventario[[#This Row],[Área]],11),REPT(0,(10-LEN(D100))),D100),CONCATENATE(Inventario[Área],D100))</f>
        <v>1.3.4.0.0- 0000000248</v>
      </c>
      <c r="C100" s="87"/>
      <c r="D100" s="76">
        <v>248</v>
      </c>
      <c r="E100" s="77">
        <v>1</v>
      </c>
      <c r="F100" s="77" t="s">
        <v>308</v>
      </c>
      <c r="G100" s="77" t="s">
        <v>158</v>
      </c>
      <c r="H100" s="77" t="s">
        <v>158</v>
      </c>
      <c r="I100" s="81" t="s">
        <v>158</v>
      </c>
      <c r="J100" s="78" t="s">
        <v>158</v>
      </c>
      <c r="K100" s="77" t="s">
        <v>158</v>
      </c>
      <c r="L100" s="77" t="s">
        <v>6</v>
      </c>
      <c r="M100" s="86" t="s">
        <v>158</v>
      </c>
      <c r="N100" s="77" t="s">
        <v>133</v>
      </c>
      <c r="O100" s="77" t="s">
        <v>178</v>
      </c>
      <c r="P100" s="77" t="s">
        <v>23</v>
      </c>
    </row>
    <row r="101" spans="2:16">
      <c r="B101" s="74" t="str">
        <f>IF(LEN(D101)&lt;10,CONCATENATE(LEFT(Inventario[[#This Row],[Área]],11),REPT(0,(10-LEN(D101))),D101),CONCATENATE(Inventario[Área],D101))</f>
        <v>1.3.4.0.0- 0000000247</v>
      </c>
      <c r="C101" s="87"/>
      <c r="D101" s="76">
        <v>247</v>
      </c>
      <c r="E101" s="77">
        <v>1</v>
      </c>
      <c r="F101" s="77" t="s">
        <v>308</v>
      </c>
      <c r="G101" s="77" t="s">
        <v>158</v>
      </c>
      <c r="H101" s="77" t="s">
        <v>158</v>
      </c>
      <c r="I101" s="81" t="s">
        <v>158</v>
      </c>
      <c r="J101" s="78" t="s">
        <v>158</v>
      </c>
      <c r="K101" s="77" t="s">
        <v>158</v>
      </c>
      <c r="L101" s="77" t="s">
        <v>6</v>
      </c>
      <c r="M101" s="86" t="s">
        <v>158</v>
      </c>
      <c r="N101" s="77" t="s">
        <v>133</v>
      </c>
      <c r="O101" s="77" t="s">
        <v>178</v>
      </c>
      <c r="P101" s="77" t="s">
        <v>23</v>
      </c>
    </row>
    <row r="102" spans="2:16">
      <c r="B102" s="74" t="str">
        <f>IF(LEN(D102)&lt;10,CONCATENATE(LEFT(Inventario[[#This Row],[Área]],11),REPT(0,(10-LEN(D102))),D102),CONCATENATE(Inventario[Área],D102))</f>
        <v>1.3.4.0.0- 0000000246</v>
      </c>
      <c r="C102" s="87"/>
      <c r="D102" s="76">
        <v>246</v>
      </c>
      <c r="E102" s="77">
        <v>1</v>
      </c>
      <c r="F102" s="77" t="s">
        <v>308</v>
      </c>
      <c r="G102" s="77" t="s">
        <v>158</v>
      </c>
      <c r="H102" s="77" t="s">
        <v>158</v>
      </c>
      <c r="I102" s="81" t="s">
        <v>158</v>
      </c>
      <c r="J102" s="78" t="s">
        <v>158</v>
      </c>
      <c r="K102" s="77" t="s">
        <v>158</v>
      </c>
      <c r="L102" s="77" t="s">
        <v>6</v>
      </c>
      <c r="M102" s="86" t="s">
        <v>158</v>
      </c>
      <c r="N102" s="77" t="s">
        <v>133</v>
      </c>
      <c r="O102" s="77" t="s">
        <v>178</v>
      </c>
      <c r="P102" s="77" t="s">
        <v>23</v>
      </c>
    </row>
    <row r="103" spans="2:16">
      <c r="B103" s="74" t="str">
        <f>IF(LEN(D103)&lt;10,CONCATENATE(LEFT(Inventario[[#This Row],[Área]],11),REPT(0,(10-LEN(D103))),D103),CONCATENATE(Inventario[Área],D103))</f>
        <v>1.3.4.0.0- 0000000245</v>
      </c>
      <c r="C103" s="87"/>
      <c r="D103" s="76">
        <v>245</v>
      </c>
      <c r="E103" s="77">
        <v>1</v>
      </c>
      <c r="F103" s="77" t="s">
        <v>308</v>
      </c>
      <c r="G103" s="77" t="s">
        <v>158</v>
      </c>
      <c r="H103" s="77" t="s">
        <v>158</v>
      </c>
      <c r="I103" s="81" t="s">
        <v>158</v>
      </c>
      <c r="J103" s="78" t="s">
        <v>158</v>
      </c>
      <c r="K103" s="77" t="s">
        <v>158</v>
      </c>
      <c r="L103" s="77" t="s">
        <v>6</v>
      </c>
      <c r="M103" s="86" t="s">
        <v>158</v>
      </c>
      <c r="N103" s="77" t="s">
        <v>133</v>
      </c>
      <c r="O103" s="77" t="s">
        <v>178</v>
      </c>
      <c r="P103" s="77" t="s">
        <v>23</v>
      </c>
    </row>
    <row r="104" spans="2:16">
      <c r="B104" s="74" t="str">
        <f>IF(LEN(D104)&lt;10,CONCATENATE(LEFT(Inventario[[#This Row],[Área]],11),REPT(0,(10-LEN(D104))),D104),CONCATENATE(Inventario[Área],D104))</f>
        <v>1.3.4.0.0- 0000000244</v>
      </c>
      <c r="C104" s="87"/>
      <c r="D104" s="76">
        <v>244</v>
      </c>
      <c r="E104" s="77">
        <v>1</v>
      </c>
      <c r="F104" s="77" t="s">
        <v>308</v>
      </c>
      <c r="G104" s="77" t="s">
        <v>158</v>
      </c>
      <c r="H104" s="77" t="s">
        <v>158</v>
      </c>
      <c r="I104" s="81" t="s">
        <v>158</v>
      </c>
      <c r="J104" s="78" t="s">
        <v>158</v>
      </c>
      <c r="K104" s="77" t="s">
        <v>158</v>
      </c>
      <c r="L104" s="77" t="s">
        <v>6</v>
      </c>
      <c r="M104" s="86" t="s">
        <v>158</v>
      </c>
      <c r="N104" s="77" t="s">
        <v>133</v>
      </c>
      <c r="O104" s="77" t="s">
        <v>178</v>
      </c>
      <c r="P104" s="77" t="s">
        <v>23</v>
      </c>
    </row>
    <row r="105" spans="2:16">
      <c r="B105" s="74" t="str">
        <f>IF(LEN(D105)&lt;10,CONCATENATE(LEFT(Inventario[[#This Row],[Área]],11),REPT(0,(10-LEN(D105))),D105),CONCATENATE(Inventario[Área],D105))</f>
        <v>1.3.4.0.0- 0000000243</v>
      </c>
      <c r="C105" s="87"/>
      <c r="D105" s="76">
        <v>243</v>
      </c>
      <c r="E105" s="77">
        <v>1</v>
      </c>
      <c r="F105" s="77" t="s">
        <v>307</v>
      </c>
      <c r="G105" s="77" t="s">
        <v>158</v>
      </c>
      <c r="H105" s="77" t="s">
        <v>158</v>
      </c>
      <c r="I105" s="81" t="s">
        <v>158</v>
      </c>
      <c r="J105" s="78" t="s">
        <v>158</v>
      </c>
      <c r="K105" s="77" t="s">
        <v>158</v>
      </c>
      <c r="L105" s="77" t="s">
        <v>6</v>
      </c>
      <c r="M105" s="86" t="s">
        <v>158</v>
      </c>
      <c r="N105" s="77" t="s">
        <v>133</v>
      </c>
      <c r="O105" s="77" t="s">
        <v>178</v>
      </c>
      <c r="P105" s="77" t="s">
        <v>23</v>
      </c>
    </row>
    <row r="106" spans="2:16">
      <c r="B106" s="74" t="str">
        <f>IF(LEN(D106)&lt;10,CONCATENATE(LEFT(Inventario[[#This Row],[Área]],11),REPT(0,(10-LEN(D106))),D106),CONCATENATE(Inventario[Área],D106))</f>
        <v>1.3.4.0.0- 0000000242</v>
      </c>
      <c r="C106" s="87"/>
      <c r="D106" s="76">
        <v>242</v>
      </c>
      <c r="E106" s="77">
        <v>1</v>
      </c>
      <c r="F106" s="77" t="s">
        <v>294</v>
      </c>
      <c r="G106" s="77" t="s">
        <v>158</v>
      </c>
      <c r="H106" s="77" t="s">
        <v>158</v>
      </c>
      <c r="I106" s="81" t="s">
        <v>158</v>
      </c>
      <c r="J106" s="78" t="s">
        <v>158</v>
      </c>
      <c r="K106" s="77" t="s">
        <v>158</v>
      </c>
      <c r="L106" s="77" t="s">
        <v>6</v>
      </c>
      <c r="M106" s="86" t="s">
        <v>158</v>
      </c>
      <c r="N106" s="77" t="s">
        <v>133</v>
      </c>
      <c r="O106" s="77" t="s">
        <v>178</v>
      </c>
      <c r="P106" s="77" t="s">
        <v>23</v>
      </c>
    </row>
    <row r="107" spans="2:16">
      <c r="B107" s="74" t="str">
        <f>IF(LEN(D107)&lt;10,CONCATENATE(LEFT(Inventario[[#This Row],[Área]],11),REPT(0,(10-LEN(D107))),D107),CONCATENATE(Inventario[Área],D107))</f>
        <v>1.3.4.0.0- 0000000241</v>
      </c>
      <c r="C107" s="87"/>
      <c r="D107" s="76">
        <v>241</v>
      </c>
      <c r="E107" s="77">
        <v>1</v>
      </c>
      <c r="F107" s="77" t="s">
        <v>294</v>
      </c>
      <c r="G107" s="77" t="s">
        <v>158</v>
      </c>
      <c r="H107" s="77" t="s">
        <v>158</v>
      </c>
      <c r="I107" s="81" t="s">
        <v>158</v>
      </c>
      <c r="J107" s="78" t="s">
        <v>158</v>
      </c>
      <c r="K107" s="77" t="s">
        <v>158</v>
      </c>
      <c r="L107" s="77" t="s">
        <v>6</v>
      </c>
      <c r="M107" s="86" t="s">
        <v>158</v>
      </c>
      <c r="N107" s="77" t="s">
        <v>133</v>
      </c>
      <c r="O107" s="77" t="s">
        <v>178</v>
      </c>
      <c r="P107" s="77" t="s">
        <v>23</v>
      </c>
    </row>
    <row r="108" spans="2:16">
      <c r="B108" s="74" t="str">
        <f>IF(LEN(D108)&lt;10,CONCATENATE(LEFT(Inventario[[#This Row],[Área]],11),REPT(0,(10-LEN(D108))),D108),CONCATENATE(Inventario[Área],D108))</f>
        <v>1.3.4.0.0- 0000000240</v>
      </c>
      <c r="C108" s="87"/>
      <c r="D108" s="76">
        <v>240</v>
      </c>
      <c r="E108" s="77">
        <v>1</v>
      </c>
      <c r="F108" s="77" t="s">
        <v>306</v>
      </c>
      <c r="G108" s="77" t="s">
        <v>158</v>
      </c>
      <c r="H108" s="77" t="s">
        <v>158</v>
      </c>
      <c r="I108" s="81" t="s">
        <v>158</v>
      </c>
      <c r="J108" s="78" t="s">
        <v>158</v>
      </c>
      <c r="K108" s="77" t="s">
        <v>158</v>
      </c>
      <c r="L108" s="77" t="s">
        <v>6</v>
      </c>
      <c r="M108" s="86" t="s">
        <v>158</v>
      </c>
      <c r="N108" s="77" t="s">
        <v>133</v>
      </c>
      <c r="O108" s="77" t="s">
        <v>178</v>
      </c>
      <c r="P108" s="77" t="s">
        <v>23</v>
      </c>
    </row>
    <row r="109" spans="2:16">
      <c r="B109" s="74" t="str">
        <f>IF(LEN(D109)&lt;10,CONCATENATE(LEFT(Inventario[[#This Row],[Área]],11),REPT(0,(10-LEN(D109))),D109),CONCATENATE(Inventario[Área],D109))</f>
        <v>1.3.4.0.0- 0000000239</v>
      </c>
      <c r="C109" s="87"/>
      <c r="D109" s="76">
        <v>239</v>
      </c>
      <c r="E109" s="77">
        <v>1</v>
      </c>
      <c r="F109" s="77" t="s">
        <v>306</v>
      </c>
      <c r="G109" s="77" t="s">
        <v>158</v>
      </c>
      <c r="H109" s="77" t="s">
        <v>158</v>
      </c>
      <c r="I109" s="81" t="s">
        <v>158</v>
      </c>
      <c r="J109" s="78" t="s">
        <v>158</v>
      </c>
      <c r="K109" s="77" t="s">
        <v>158</v>
      </c>
      <c r="L109" s="77" t="s">
        <v>6</v>
      </c>
      <c r="M109" s="86" t="s">
        <v>158</v>
      </c>
      <c r="N109" s="77" t="s">
        <v>133</v>
      </c>
      <c r="O109" s="77" t="s">
        <v>178</v>
      </c>
      <c r="P109" s="77" t="s">
        <v>23</v>
      </c>
    </row>
    <row r="110" spans="2:16">
      <c r="B110" s="74" t="str">
        <f>IF(LEN(D110)&lt;10,CONCATENATE(LEFT(Inventario[[#This Row],[Área]],11),REPT(0,(10-LEN(D110))),D110),CONCATENATE(Inventario[Área],D110))</f>
        <v>1.3.4.0.0- 0000000238</v>
      </c>
      <c r="C110" s="87"/>
      <c r="D110" s="76">
        <v>238</v>
      </c>
      <c r="E110" s="77">
        <v>1</v>
      </c>
      <c r="F110" s="77" t="s">
        <v>306</v>
      </c>
      <c r="G110" s="77" t="s">
        <v>158</v>
      </c>
      <c r="H110" s="77" t="s">
        <v>158</v>
      </c>
      <c r="I110" s="81" t="s">
        <v>158</v>
      </c>
      <c r="J110" s="78" t="s">
        <v>158</v>
      </c>
      <c r="K110" s="77" t="s">
        <v>158</v>
      </c>
      <c r="L110" s="77" t="s">
        <v>6</v>
      </c>
      <c r="M110" s="86" t="s">
        <v>158</v>
      </c>
      <c r="N110" s="77" t="s">
        <v>133</v>
      </c>
      <c r="O110" s="77" t="s">
        <v>178</v>
      </c>
      <c r="P110" s="77" t="s">
        <v>23</v>
      </c>
    </row>
    <row r="111" spans="2:16">
      <c r="B111" s="74" t="str">
        <f>IF(LEN(D111)&lt;10,CONCATENATE(LEFT(Inventario[[#This Row],[Área]],11),REPT(0,(10-LEN(D111))),D111),CONCATENATE(Inventario[Área],D111))</f>
        <v>1.3.4.0.0- 0000000237</v>
      </c>
      <c r="C111" s="87"/>
      <c r="D111" s="76">
        <v>237</v>
      </c>
      <c r="E111" s="77">
        <v>1</v>
      </c>
      <c r="F111" s="77" t="s">
        <v>306</v>
      </c>
      <c r="G111" s="77" t="s">
        <v>158</v>
      </c>
      <c r="H111" s="77" t="s">
        <v>158</v>
      </c>
      <c r="I111" s="81" t="s">
        <v>158</v>
      </c>
      <c r="J111" s="78" t="s">
        <v>158</v>
      </c>
      <c r="K111" s="77" t="s">
        <v>158</v>
      </c>
      <c r="L111" s="77" t="s">
        <v>6</v>
      </c>
      <c r="M111" s="86" t="s">
        <v>158</v>
      </c>
      <c r="N111" s="77" t="s">
        <v>133</v>
      </c>
      <c r="O111" s="77" t="s">
        <v>178</v>
      </c>
      <c r="P111" s="77" t="s">
        <v>23</v>
      </c>
    </row>
    <row r="112" spans="2:16">
      <c r="B112" s="74" t="str">
        <f>IF(LEN(D112)&lt;10,CONCATENATE(LEFT(Inventario[[#This Row],[Área]],11),REPT(0,(10-LEN(D112))),D112),CONCATENATE(Inventario[Área],D112))</f>
        <v>1.3.4.0.0- 0000000236</v>
      </c>
      <c r="C112" s="87"/>
      <c r="D112" s="76">
        <v>236</v>
      </c>
      <c r="E112" s="77">
        <v>1</v>
      </c>
      <c r="F112" s="77" t="s">
        <v>306</v>
      </c>
      <c r="G112" s="77" t="s">
        <v>158</v>
      </c>
      <c r="H112" s="77" t="s">
        <v>158</v>
      </c>
      <c r="I112" s="81" t="s">
        <v>158</v>
      </c>
      <c r="J112" s="78" t="s">
        <v>158</v>
      </c>
      <c r="K112" s="77" t="s">
        <v>158</v>
      </c>
      <c r="L112" s="77" t="s">
        <v>6</v>
      </c>
      <c r="M112" s="86" t="s">
        <v>158</v>
      </c>
      <c r="N112" s="77" t="s">
        <v>133</v>
      </c>
      <c r="O112" s="77" t="s">
        <v>178</v>
      </c>
      <c r="P112" s="77" t="s">
        <v>23</v>
      </c>
    </row>
    <row r="113" spans="2:16">
      <c r="B113" s="74" t="str">
        <f>IF(LEN(D113)&lt;10,CONCATENATE(LEFT(Inventario[[#This Row],[Área]],11),REPT(0,(10-LEN(D113))),D113),CONCATENATE(Inventario[Área],D113))</f>
        <v>1.3.4.0.0- 0000000235</v>
      </c>
      <c r="C113" s="87"/>
      <c r="D113" s="76">
        <v>235</v>
      </c>
      <c r="E113" s="77">
        <v>1</v>
      </c>
      <c r="F113" s="77" t="s">
        <v>306</v>
      </c>
      <c r="G113" s="77" t="s">
        <v>158</v>
      </c>
      <c r="H113" s="77" t="s">
        <v>158</v>
      </c>
      <c r="I113" s="81" t="s">
        <v>158</v>
      </c>
      <c r="J113" s="78" t="s">
        <v>158</v>
      </c>
      <c r="K113" s="77" t="s">
        <v>158</v>
      </c>
      <c r="L113" s="77" t="s">
        <v>6</v>
      </c>
      <c r="M113" s="86" t="s">
        <v>158</v>
      </c>
      <c r="N113" s="77" t="s">
        <v>133</v>
      </c>
      <c r="O113" s="77" t="s">
        <v>178</v>
      </c>
      <c r="P113" s="77" t="s">
        <v>23</v>
      </c>
    </row>
    <row r="114" spans="2:16">
      <c r="B114" s="74" t="str">
        <f>IF(LEN(D114)&lt;10,CONCATENATE(LEFT(Inventario[[#This Row],[Área]],11),REPT(0,(10-LEN(D114))),D114),CONCATENATE(Inventario[Área],D114))</f>
        <v>1.3.4.0.0- 0000000234</v>
      </c>
      <c r="C114" s="87"/>
      <c r="D114" s="76">
        <v>234</v>
      </c>
      <c r="E114" s="77">
        <v>1</v>
      </c>
      <c r="F114" s="77" t="s">
        <v>306</v>
      </c>
      <c r="G114" s="77" t="s">
        <v>158</v>
      </c>
      <c r="H114" s="77" t="s">
        <v>158</v>
      </c>
      <c r="I114" s="81" t="s">
        <v>158</v>
      </c>
      <c r="J114" s="78" t="s">
        <v>158</v>
      </c>
      <c r="K114" s="77" t="s">
        <v>158</v>
      </c>
      <c r="L114" s="77" t="s">
        <v>6</v>
      </c>
      <c r="M114" s="86" t="s">
        <v>158</v>
      </c>
      <c r="N114" s="77" t="s">
        <v>133</v>
      </c>
      <c r="O114" s="77" t="s">
        <v>178</v>
      </c>
      <c r="P114" s="77" t="s">
        <v>23</v>
      </c>
    </row>
    <row r="115" spans="2:16">
      <c r="B115" s="74" t="str">
        <f>IF(LEN(D115)&lt;10,CONCATENATE(LEFT(Inventario[[#This Row],[Área]],11),REPT(0,(10-LEN(D115))),D115),CONCATENATE(Inventario[Área],D115))</f>
        <v>1.3.4.0.0- 0000000233</v>
      </c>
      <c r="C115" s="87"/>
      <c r="D115" s="76">
        <v>233</v>
      </c>
      <c r="E115" s="77">
        <v>1</v>
      </c>
      <c r="F115" s="77" t="s">
        <v>306</v>
      </c>
      <c r="G115" s="77" t="s">
        <v>158</v>
      </c>
      <c r="H115" s="77" t="s">
        <v>158</v>
      </c>
      <c r="I115" s="81" t="s">
        <v>158</v>
      </c>
      <c r="J115" s="78" t="s">
        <v>158</v>
      </c>
      <c r="K115" s="77" t="s">
        <v>158</v>
      </c>
      <c r="L115" s="77" t="s">
        <v>6</v>
      </c>
      <c r="M115" s="86" t="s">
        <v>158</v>
      </c>
      <c r="N115" s="77" t="s">
        <v>133</v>
      </c>
      <c r="O115" s="77" t="s">
        <v>178</v>
      </c>
      <c r="P115" s="77" t="s">
        <v>23</v>
      </c>
    </row>
    <row r="116" spans="2:16">
      <c r="B116" s="74" t="str">
        <f>IF(LEN(D116)&lt;10,CONCATENATE(LEFT(Inventario[[#This Row],[Área]],11),REPT(0,(10-LEN(D116))),D116),CONCATENATE(Inventario[Área],D116))</f>
        <v>1.3.4.0.0- 0000000232</v>
      </c>
      <c r="C116" s="87"/>
      <c r="D116" s="76">
        <v>232</v>
      </c>
      <c r="E116" s="77">
        <v>1</v>
      </c>
      <c r="F116" s="77" t="s">
        <v>306</v>
      </c>
      <c r="G116" s="77" t="s">
        <v>158</v>
      </c>
      <c r="H116" s="77" t="s">
        <v>158</v>
      </c>
      <c r="I116" s="81" t="s">
        <v>158</v>
      </c>
      <c r="J116" s="78" t="s">
        <v>158</v>
      </c>
      <c r="K116" s="77" t="s">
        <v>158</v>
      </c>
      <c r="L116" s="77" t="s">
        <v>6</v>
      </c>
      <c r="M116" s="86" t="s">
        <v>158</v>
      </c>
      <c r="N116" s="77" t="s">
        <v>133</v>
      </c>
      <c r="O116" s="77" t="s">
        <v>178</v>
      </c>
      <c r="P116" s="77" t="s">
        <v>23</v>
      </c>
    </row>
    <row r="117" spans="2:16">
      <c r="B117" s="74" t="str">
        <f>IF(LEN(D117)&lt;10,CONCATENATE(LEFT(Inventario[[#This Row],[Área]],11),REPT(0,(10-LEN(D117))),D117),CONCATENATE(Inventario[Área],D117))</f>
        <v>1.3.4.0.0- 0000000231</v>
      </c>
      <c r="C117" s="87"/>
      <c r="D117" s="76">
        <v>231</v>
      </c>
      <c r="E117" s="77">
        <v>1</v>
      </c>
      <c r="F117" s="77" t="s">
        <v>306</v>
      </c>
      <c r="G117" s="77" t="s">
        <v>158</v>
      </c>
      <c r="H117" s="77" t="s">
        <v>158</v>
      </c>
      <c r="I117" s="81" t="s">
        <v>158</v>
      </c>
      <c r="J117" s="78" t="s">
        <v>158</v>
      </c>
      <c r="K117" s="77" t="s">
        <v>158</v>
      </c>
      <c r="L117" s="77" t="s">
        <v>6</v>
      </c>
      <c r="M117" s="86" t="s">
        <v>158</v>
      </c>
      <c r="N117" s="77" t="s">
        <v>133</v>
      </c>
      <c r="O117" s="77" t="s">
        <v>178</v>
      </c>
      <c r="P117" s="77" t="s">
        <v>23</v>
      </c>
    </row>
    <row r="118" spans="2:16">
      <c r="B118" s="74" t="str">
        <f>IF(LEN(D118)&lt;10,CONCATENATE(LEFT(Inventario[[#This Row],[Área]],11),REPT(0,(10-LEN(D118))),D118),CONCATENATE(Inventario[Área],D118))</f>
        <v>1.3.4.0.0- 0000000230</v>
      </c>
      <c r="C118" s="87"/>
      <c r="D118" s="76">
        <v>230</v>
      </c>
      <c r="E118" s="77">
        <v>1</v>
      </c>
      <c r="F118" s="77" t="s">
        <v>306</v>
      </c>
      <c r="G118" s="77" t="s">
        <v>158</v>
      </c>
      <c r="H118" s="77" t="s">
        <v>158</v>
      </c>
      <c r="I118" s="81" t="s">
        <v>158</v>
      </c>
      <c r="J118" s="78" t="s">
        <v>158</v>
      </c>
      <c r="K118" s="77" t="s">
        <v>158</v>
      </c>
      <c r="L118" s="77" t="s">
        <v>6</v>
      </c>
      <c r="M118" s="86" t="s">
        <v>158</v>
      </c>
      <c r="N118" s="77" t="s">
        <v>133</v>
      </c>
      <c r="O118" s="77" t="s">
        <v>178</v>
      </c>
      <c r="P118" s="77" t="s">
        <v>23</v>
      </c>
    </row>
    <row r="119" spans="2:16">
      <c r="B119" s="74" t="str">
        <f>IF(LEN(D119)&lt;10,CONCATENATE(LEFT(Inventario[[#This Row],[Área]],11),REPT(0,(10-LEN(D119))),D119),CONCATENATE(Inventario[Área],D119))</f>
        <v>1.3.4.0.0- 0000000229</v>
      </c>
      <c r="C119" s="87"/>
      <c r="D119" s="76">
        <v>229</v>
      </c>
      <c r="E119" s="77">
        <v>1</v>
      </c>
      <c r="F119" s="77" t="s">
        <v>306</v>
      </c>
      <c r="G119" s="77" t="s">
        <v>158</v>
      </c>
      <c r="H119" s="77" t="s">
        <v>158</v>
      </c>
      <c r="I119" s="81" t="s">
        <v>158</v>
      </c>
      <c r="J119" s="78" t="s">
        <v>158</v>
      </c>
      <c r="K119" s="77" t="s">
        <v>158</v>
      </c>
      <c r="L119" s="77" t="s">
        <v>6</v>
      </c>
      <c r="M119" s="86" t="s">
        <v>158</v>
      </c>
      <c r="N119" s="77" t="s">
        <v>133</v>
      </c>
      <c r="O119" s="77" t="s">
        <v>178</v>
      </c>
      <c r="P119" s="77" t="s">
        <v>23</v>
      </c>
    </row>
    <row r="120" spans="2:16">
      <c r="B120" s="74" t="str">
        <f>IF(LEN(D120)&lt;10,CONCATENATE(LEFT(Inventario[[#This Row],[Área]],11),REPT(0,(10-LEN(D120))),D120),CONCATENATE(Inventario[Área],D120))</f>
        <v>1.3.4.0.0- 0000000228</v>
      </c>
      <c r="C120" s="87"/>
      <c r="D120" s="76">
        <v>228</v>
      </c>
      <c r="E120" s="77">
        <v>1</v>
      </c>
      <c r="F120" s="77" t="s">
        <v>306</v>
      </c>
      <c r="G120" s="77" t="s">
        <v>158</v>
      </c>
      <c r="H120" s="77" t="s">
        <v>158</v>
      </c>
      <c r="I120" s="81" t="s">
        <v>158</v>
      </c>
      <c r="J120" s="78" t="s">
        <v>158</v>
      </c>
      <c r="K120" s="77" t="s">
        <v>158</v>
      </c>
      <c r="L120" s="77" t="s">
        <v>6</v>
      </c>
      <c r="M120" s="86" t="s">
        <v>158</v>
      </c>
      <c r="N120" s="77" t="s">
        <v>133</v>
      </c>
      <c r="O120" s="77" t="s">
        <v>178</v>
      </c>
      <c r="P120" s="77" t="s">
        <v>23</v>
      </c>
    </row>
    <row r="121" spans="2:16">
      <c r="B121" s="74" t="str">
        <f>IF(LEN(D121)&lt;10,CONCATENATE(LEFT(Inventario[[#This Row],[Área]],11),REPT(0,(10-LEN(D121))),D121),CONCATENATE(Inventario[Área],D121))</f>
        <v>1.3.4.0.0- 0000000227</v>
      </c>
      <c r="C121" s="87"/>
      <c r="D121" s="76">
        <v>227</v>
      </c>
      <c r="E121" s="77">
        <v>1</v>
      </c>
      <c r="F121" s="77" t="s">
        <v>306</v>
      </c>
      <c r="G121" s="77" t="s">
        <v>158</v>
      </c>
      <c r="H121" s="77" t="s">
        <v>158</v>
      </c>
      <c r="I121" s="81" t="s">
        <v>158</v>
      </c>
      <c r="J121" s="78" t="s">
        <v>158</v>
      </c>
      <c r="K121" s="77" t="s">
        <v>158</v>
      </c>
      <c r="L121" s="77" t="s">
        <v>6</v>
      </c>
      <c r="M121" s="86" t="s">
        <v>158</v>
      </c>
      <c r="N121" s="77" t="s">
        <v>133</v>
      </c>
      <c r="O121" s="77" t="s">
        <v>178</v>
      </c>
      <c r="P121" s="77" t="s">
        <v>23</v>
      </c>
    </row>
    <row r="122" spans="2:16">
      <c r="B122" s="74" t="str">
        <f>IF(LEN(D122)&lt;10,CONCATENATE(LEFT(Inventario[[#This Row],[Área]],11),REPT(0,(10-LEN(D122))),D122),CONCATENATE(Inventario[Área],D122))</f>
        <v>1.3.4.0.0- 0000000226</v>
      </c>
      <c r="C122" s="87"/>
      <c r="D122" s="76">
        <v>226</v>
      </c>
      <c r="E122" s="77">
        <v>1</v>
      </c>
      <c r="F122" s="77" t="s">
        <v>306</v>
      </c>
      <c r="G122" s="77" t="s">
        <v>158</v>
      </c>
      <c r="H122" s="77" t="s">
        <v>158</v>
      </c>
      <c r="I122" s="81" t="s">
        <v>158</v>
      </c>
      <c r="J122" s="78" t="s">
        <v>158</v>
      </c>
      <c r="K122" s="77" t="s">
        <v>158</v>
      </c>
      <c r="L122" s="77" t="s">
        <v>6</v>
      </c>
      <c r="M122" s="86" t="s">
        <v>158</v>
      </c>
      <c r="N122" s="77" t="s">
        <v>133</v>
      </c>
      <c r="O122" s="77" t="s">
        <v>178</v>
      </c>
      <c r="P122" s="77" t="s">
        <v>23</v>
      </c>
    </row>
    <row r="123" spans="2:16">
      <c r="B123" s="74" t="str">
        <f>IF(LEN(D123)&lt;10,CONCATENATE(LEFT(Inventario[[#This Row],[Área]],11),REPT(0,(10-LEN(D123))),D123),CONCATENATE(Inventario[Área],D123))</f>
        <v>1.3.4.0.0- 0000000225</v>
      </c>
      <c r="C123" s="87"/>
      <c r="D123" s="76">
        <v>225</v>
      </c>
      <c r="E123" s="77">
        <v>1</v>
      </c>
      <c r="F123" s="77" t="s">
        <v>306</v>
      </c>
      <c r="G123" s="77" t="s">
        <v>158</v>
      </c>
      <c r="H123" s="77" t="s">
        <v>158</v>
      </c>
      <c r="I123" s="81" t="s">
        <v>158</v>
      </c>
      <c r="J123" s="78" t="s">
        <v>158</v>
      </c>
      <c r="K123" s="77" t="s">
        <v>158</v>
      </c>
      <c r="L123" s="77" t="s">
        <v>6</v>
      </c>
      <c r="M123" s="86" t="s">
        <v>158</v>
      </c>
      <c r="N123" s="77" t="s">
        <v>133</v>
      </c>
      <c r="O123" s="77" t="s">
        <v>178</v>
      </c>
      <c r="P123" s="77" t="s">
        <v>23</v>
      </c>
    </row>
    <row r="124" spans="2:16">
      <c r="B124" s="74" t="str">
        <f>IF(LEN(D124)&lt;10,CONCATENATE(LEFT(Inventario[[#This Row],[Área]],11),REPT(0,(10-LEN(D124))),D124),CONCATENATE(Inventario[Área],D124))</f>
        <v>1.3.4.0.0- 0000000224</v>
      </c>
      <c r="C124" s="87"/>
      <c r="D124" s="76">
        <v>224</v>
      </c>
      <c r="E124" s="77">
        <v>1</v>
      </c>
      <c r="F124" s="77" t="s">
        <v>306</v>
      </c>
      <c r="G124" s="77" t="s">
        <v>158</v>
      </c>
      <c r="H124" s="77" t="s">
        <v>158</v>
      </c>
      <c r="I124" s="81" t="s">
        <v>158</v>
      </c>
      <c r="J124" s="78" t="s">
        <v>158</v>
      </c>
      <c r="K124" s="77" t="s">
        <v>158</v>
      </c>
      <c r="L124" s="77" t="s">
        <v>6</v>
      </c>
      <c r="M124" s="86" t="s">
        <v>158</v>
      </c>
      <c r="N124" s="77" t="s">
        <v>133</v>
      </c>
      <c r="O124" s="77" t="s">
        <v>178</v>
      </c>
      <c r="P124" s="77" t="s">
        <v>23</v>
      </c>
    </row>
    <row r="125" spans="2:16">
      <c r="B125" s="74" t="str">
        <f>IF(LEN(D125)&lt;10,CONCATENATE(LEFT(Inventario[[#This Row],[Área]],11),REPT(0,(10-LEN(D125))),D125),CONCATENATE(Inventario[Área],D125))</f>
        <v>1.3.4.0.0- 0000000223</v>
      </c>
      <c r="C125" s="87"/>
      <c r="D125" s="76">
        <v>223</v>
      </c>
      <c r="E125" s="77">
        <v>1</v>
      </c>
      <c r="F125" s="77" t="s">
        <v>306</v>
      </c>
      <c r="G125" s="77" t="s">
        <v>158</v>
      </c>
      <c r="H125" s="77" t="s">
        <v>158</v>
      </c>
      <c r="I125" s="81" t="s">
        <v>158</v>
      </c>
      <c r="J125" s="78" t="s">
        <v>158</v>
      </c>
      <c r="K125" s="77" t="s">
        <v>158</v>
      </c>
      <c r="L125" s="77" t="s">
        <v>6</v>
      </c>
      <c r="M125" s="86" t="s">
        <v>158</v>
      </c>
      <c r="N125" s="77" t="s">
        <v>133</v>
      </c>
      <c r="O125" s="77" t="s">
        <v>178</v>
      </c>
      <c r="P125" s="77" t="s">
        <v>23</v>
      </c>
    </row>
    <row r="126" spans="2:16">
      <c r="B126" s="74" t="str">
        <f>IF(LEN(D126)&lt;10,CONCATENATE(LEFT(Inventario[[#This Row],[Área]],11),REPT(0,(10-LEN(D126))),D126),CONCATENATE(Inventario[Área],D126))</f>
        <v>1.3.4.0.0- 0000000222</v>
      </c>
      <c r="C126" s="87"/>
      <c r="D126" s="76">
        <v>222</v>
      </c>
      <c r="E126" s="77">
        <v>1</v>
      </c>
      <c r="F126" s="77" t="s">
        <v>306</v>
      </c>
      <c r="G126" s="77" t="s">
        <v>158</v>
      </c>
      <c r="H126" s="77" t="s">
        <v>158</v>
      </c>
      <c r="I126" s="81" t="s">
        <v>158</v>
      </c>
      <c r="J126" s="78" t="s">
        <v>158</v>
      </c>
      <c r="K126" s="77" t="s">
        <v>158</v>
      </c>
      <c r="L126" s="77" t="s">
        <v>6</v>
      </c>
      <c r="M126" s="86" t="s">
        <v>158</v>
      </c>
      <c r="N126" s="77" t="s">
        <v>133</v>
      </c>
      <c r="O126" s="77" t="s">
        <v>178</v>
      </c>
      <c r="P126" s="77" t="s">
        <v>23</v>
      </c>
    </row>
    <row r="127" spans="2:16">
      <c r="B127" s="74" t="str">
        <f>IF(LEN(D127)&lt;10,CONCATENATE(LEFT(Inventario[[#This Row],[Área]],11),REPT(0,(10-LEN(D127))),D127),CONCATENATE(Inventario[Área],D127))</f>
        <v>1.2.8.13.0-0000000221</v>
      </c>
      <c r="C127" s="87"/>
      <c r="D127" s="76">
        <v>221</v>
      </c>
      <c r="E127" s="77">
        <v>1</v>
      </c>
      <c r="F127" s="77" t="s">
        <v>305</v>
      </c>
      <c r="G127" s="77" t="s">
        <v>158</v>
      </c>
      <c r="H127" s="77" t="s">
        <v>158</v>
      </c>
      <c r="I127" s="81" t="s">
        <v>158</v>
      </c>
      <c r="J127" s="78" t="s">
        <v>158</v>
      </c>
      <c r="K127" s="77" t="s">
        <v>158</v>
      </c>
      <c r="L127" s="77" t="s">
        <v>6</v>
      </c>
      <c r="M127" s="86" t="s">
        <v>158</v>
      </c>
      <c r="N127" s="77" t="s">
        <v>108</v>
      </c>
      <c r="O127" s="77" t="s">
        <v>318</v>
      </c>
      <c r="P127" s="77" t="s">
        <v>23</v>
      </c>
    </row>
    <row r="128" spans="2:16">
      <c r="B128" s="74" t="str">
        <f>IF(LEN(D128)&lt;10,CONCATENATE(LEFT(Inventario[[#This Row],[Área]],11),REPT(0,(10-LEN(D128))),D128),CONCATENATE(Inventario[Área],D128))</f>
        <v>1.2.8.13.0-0000000220</v>
      </c>
      <c r="C128" s="87"/>
      <c r="D128" s="76">
        <v>220</v>
      </c>
      <c r="E128" s="77">
        <v>1</v>
      </c>
      <c r="F128" s="77" t="s">
        <v>290</v>
      </c>
      <c r="G128" s="77" t="s">
        <v>158</v>
      </c>
      <c r="H128" s="77" t="s">
        <v>158</v>
      </c>
      <c r="I128" s="81" t="s">
        <v>158</v>
      </c>
      <c r="J128" s="78" t="s">
        <v>158</v>
      </c>
      <c r="K128" s="77" t="s">
        <v>158</v>
      </c>
      <c r="L128" s="77" t="s">
        <v>6</v>
      </c>
      <c r="M128" s="86" t="s">
        <v>158</v>
      </c>
      <c r="N128" s="77" t="s">
        <v>108</v>
      </c>
      <c r="O128" s="77" t="s">
        <v>318</v>
      </c>
      <c r="P128" s="77" t="s">
        <v>23</v>
      </c>
    </row>
    <row r="129" spans="2:16">
      <c r="B129" s="74" t="str">
        <f>IF(LEN(D129)&lt;10,CONCATENATE(LEFT(Inventario[[#This Row],[Área]],11),REPT(0,(10-LEN(D129))),D129),CONCATENATE(Inventario[Área],D129))</f>
        <v>1.2.8.13.0-0000000219</v>
      </c>
      <c r="C129" s="87"/>
      <c r="D129" s="76">
        <v>219</v>
      </c>
      <c r="E129" s="77">
        <v>1</v>
      </c>
      <c r="F129" s="77" t="s">
        <v>304</v>
      </c>
      <c r="G129" s="77" t="s">
        <v>158</v>
      </c>
      <c r="H129" s="77" t="s">
        <v>158</v>
      </c>
      <c r="I129" s="81" t="s">
        <v>158</v>
      </c>
      <c r="J129" s="78" t="s">
        <v>158</v>
      </c>
      <c r="K129" s="77" t="s">
        <v>158</v>
      </c>
      <c r="L129" s="77" t="s">
        <v>6</v>
      </c>
      <c r="M129" s="86" t="s">
        <v>158</v>
      </c>
      <c r="N129" s="77" t="s">
        <v>108</v>
      </c>
      <c r="O129" s="77" t="s">
        <v>318</v>
      </c>
      <c r="P129" s="77" t="s">
        <v>23</v>
      </c>
    </row>
    <row r="130" spans="2:16">
      <c r="B130" s="74" t="str">
        <f>IF(LEN(D130)&lt;10,CONCATENATE(LEFT(Inventario[[#This Row],[Área]],11),REPT(0,(10-LEN(D130))),D130),CONCATENATE(Inventario[Área],D130))</f>
        <v>1.2.8.13.0-0000000218</v>
      </c>
      <c r="C130" s="87"/>
      <c r="D130" s="76">
        <v>218</v>
      </c>
      <c r="E130" s="77">
        <v>1</v>
      </c>
      <c r="F130" s="77" t="s">
        <v>303</v>
      </c>
      <c r="G130" s="77" t="s">
        <v>158</v>
      </c>
      <c r="H130" s="77" t="s">
        <v>158</v>
      </c>
      <c r="I130" s="81" t="s">
        <v>158</v>
      </c>
      <c r="J130" s="78" t="s">
        <v>158</v>
      </c>
      <c r="K130" s="77" t="s">
        <v>158</v>
      </c>
      <c r="L130" s="77" t="s">
        <v>6</v>
      </c>
      <c r="M130" s="86" t="s">
        <v>158</v>
      </c>
      <c r="N130" s="77" t="s">
        <v>108</v>
      </c>
      <c r="O130" s="77" t="s">
        <v>318</v>
      </c>
      <c r="P130" s="77" t="s">
        <v>23</v>
      </c>
    </row>
    <row r="131" spans="2:16">
      <c r="B131" s="74" t="str">
        <f>IF(LEN(D131)&lt;10,CONCATENATE(LEFT(Inventario[[#This Row],[Área]],11),REPT(0,(10-LEN(D131))),D131),CONCATENATE(Inventario[Área],D131))</f>
        <v>1.2.8.13.0-0000000217</v>
      </c>
      <c r="C131" s="87"/>
      <c r="D131" s="76">
        <v>217</v>
      </c>
      <c r="E131" s="77">
        <v>1</v>
      </c>
      <c r="F131" s="77" t="s">
        <v>302</v>
      </c>
      <c r="G131" s="77" t="s">
        <v>158</v>
      </c>
      <c r="H131" s="77" t="s">
        <v>158</v>
      </c>
      <c r="I131" s="81" t="s">
        <v>158</v>
      </c>
      <c r="J131" s="78" t="s">
        <v>158</v>
      </c>
      <c r="K131" s="77" t="s">
        <v>158</v>
      </c>
      <c r="L131" s="77" t="s">
        <v>6</v>
      </c>
      <c r="M131" s="86" t="s">
        <v>158</v>
      </c>
      <c r="N131" s="77" t="s">
        <v>108</v>
      </c>
      <c r="O131" s="77" t="s">
        <v>318</v>
      </c>
      <c r="P131" s="77" t="s">
        <v>23</v>
      </c>
    </row>
    <row r="132" spans="2:16">
      <c r="B132" s="74" t="str">
        <f>IF(LEN(D132)&lt;10,CONCATENATE(LEFT(Inventario[[#This Row],[Área]],11),REPT(0,(10-LEN(D132))),D132),CONCATENATE(Inventario[Área],D132))</f>
        <v>1.2.8.13.0-0000000216</v>
      </c>
      <c r="C132" s="87"/>
      <c r="D132" s="76">
        <v>216</v>
      </c>
      <c r="E132" s="77">
        <v>1</v>
      </c>
      <c r="F132" s="77" t="s">
        <v>268</v>
      </c>
      <c r="G132" s="77" t="s">
        <v>158</v>
      </c>
      <c r="H132" s="77" t="s">
        <v>158</v>
      </c>
      <c r="I132" s="81" t="s">
        <v>158</v>
      </c>
      <c r="J132" s="78" t="s">
        <v>158</v>
      </c>
      <c r="K132" s="77" t="s">
        <v>158</v>
      </c>
      <c r="L132" s="77" t="s">
        <v>6</v>
      </c>
      <c r="M132" s="86" t="s">
        <v>158</v>
      </c>
      <c r="N132" s="77" t="s">
        <v>108</v>
      </c>
      <c r="O132" s="77" t="s">
        <v>318</v>
      </c>
      <c r="P132" s="77" t="s">
        <v>23</v>
      </c>
    </row>
    <row r="133" spans="2:16">
      <c r="B133" s="74" t="str">
        <f>IF(LEN(D133)&lt;10,CONCATENATE(LEFT(Inventario[[#This Row],[Área]],11),REPT(0,(10-LEN(D133))),D133),CONCATENATE(Inventario[Área],D133))</f>
        <v>1.2.8.13.0-0000000215</v>
      </c>
      <c r="C133" s="87"/>
      <c r="D133" s="76">
        <v>215</v>
      </c>
      <c r="E133" s="77">
        <v>1</v>
      </c>
      <c r="F133" s="77" t="s">
        <v>278</v>
      </c>
      <c r="G133" s="77" t="s">
        <v>158</v>
      </c>
      <c r="H133" s="77" t="s">
        <v>158</v>
      </c>
      <c r="I133" s="81" t="s">
        <v>158</v>
      </c>
      <c r="J133" s="78" t="s">
        <v>158</v>
      </c>
      <c r="K133" s="77" t="s">
        <v>158</v>
      </c>
      <c r="L133" s="77" t="s">
        <v>6</v>
      </c>
      <c r="M133" s="86" t="s">
        <v>158</v>
      </c>
      <c r="N133" s="77" t="s">
        <v>108</v>
      </c>
      <c r="O133" s="77" t="s">
        <v>318</v>
      </c>
      <c r="P133" s="77" t="s">
        <v>23</v>
      </c>
    </row>
    <row r="134" spans="2:16">
      <c r="B134" s="74" t="str">
        <f>IF(LEN(D134)&lt;10,CONCATENATE(LEFT(Inventario[[#This Row],[Área]],11),REPT(0,(10-LEN(D134))),D134),CONCATENATE(Inventario[Área],D134))</f>
        <v>1.2.8.13.0-0000000214</v>
      </c>
      <c r="C134" s="87"/>
      <c r="D134" s="76">
        <v>214</v>
      </c>
      <c r="E134" s="77">
        <v>1</v>
      </c>
      <c r="F134" s="77" t="s">
        <v>301</v>
      </c>
      <c r="G134" s="77" t="s">
        <v>158</v>
      </c>
      <c r="H134" s="77" t="s">
        <v>158</v>
      </c>
      <c r="I134" s="81" t="s">
        <v>158</v>
      </c>
      <c r="J134" s="78" t="s">
        <v>158</v>
      </c>
      <c r="K134" s="77" t="s">
        <v>158</v>
      </c>
      <c r="L134" s="77" t="s">
        <v>6</v>
      </c>
      <c r="M134" s="86" t="s">
        <v>158</v>
      </c>
      <c r="N134" s="77" t="s">
        <v>108</v>
      </c>
      <c r="O134" s="77" t="s">
        <v>318</v>
      </c>
      <c r="P134" s="77" t="s">
        <v>23</v>
      </c>
    </row>
    <row r="135" spans="2:16">
      <c r="B135" s="74" t="str">
        <f>IF(LEN(D135)&lt;10,CONCATENATE(LEFT(Inventario[[#This Row],[Área]],11),REPT(0,(10-LEN(D135))),D135),CONCATENATE(Inventario[Área],D135))</f>
        <v>1.2.8.13.0-0000000213</v>
      </c>
      <c r="C135" s="87"/>
      <c r="D135" s="76">
        <v>213</v>
      </c>
      <c r="E135" s="77">
        <v>1</v>
      </c>
      <c r="F135" s="77" t="s">
        <v>301</v>
      </c>
      <c r="G135" s="77" t="s">
        <v>158</v>
      </c>
      <c r="H135" s="77" t="s">
        <v>158</v>
      </c>
      <c r="I135" s="81" t="s">
        <v>158</v>
      </c>
      <c r="J135" s="78" t="s">
        <v>158</v>
      </c>
      <c r="K135" s="77" t="s">
        <v>158</v>
      </c>
      <c r="L135" s="77" t="s">
        <v>6</v>
      </c>
      <c r="M135" s="86" t="s">
        <v>158</v>
      </c>
      <c r="N135" s="77" t="s">
        <v>108</v>
      </c>
      <c r="O135" s="77" t="s">
        <v>318</v>
      </c>
      <c r="P135" s="77" t="s">
        <v>23</v>
      </c>
    </row>
    <row r="136" spans="2:16">
      <c r="B136" s="74" t="str">
        <f>IF(LEN(D136)&lt;10,CONCATENATE(LEFT(Inventario[[#This Row],[Área]],11),REPT(0,(10-LEN(D136))),D136),CONCATENATE(Inventario[Área],D136))</f>
        <v>1.2.8.13.0-0000000212</v>
      </c>
      <c r="C136" s="87"/>
      <c r="D136" s="76">
        <v>212</v>
      </c>
      <c r="E136" s="77">
        <v>1</v>
      </c>
      <c r="F136" s="77" t="s">
        <v>300</v>
      </c>
      <c r="G136" s="77" t="s">
        <v>158</v>
      </c>
      <c r="H136" s="77" t="s">
        <v>158</v>
      </c>
      <c r="I136" s="81" t="s">
        <v>158</v>
      </c>
      <c r="J136" s="78" t="s">
        <v>158</v>
      </c>
      <c r="K136" s="77" t="s">
        <v>158</v>
      </c>
      <c r="L136" s="77" t="s">
        <v>6</v>
      </c>
      <c r="M136" s="86" t="s">
        <v>158</v>
      </c>
      <c r="N136" s="77" t="s">
        <v>108</v>
      </c>
      <c r="O136" s="77" t="s">
        <v>318</v>
      </c>
      <c r="P136" s="77" t="s">
        <v>23</v>
      </c>
    </row>
    <row r="137" spans="2:16">
      <c r="B137" s="74" t="str">
        <f>IF(LEN(D137)&lt;10,CONCATENATE(LEFT(Inventario[[#This Row],[Área]],11),REPT(0,(10-LEN(D137))),D137),CONCATENATE(Inventario[Área],D137))</f>
        <v>1.2.8.13.0-0000000211</v>
      </c>
      <c r="C137" s="87"/>
      <c r="D137" s="76">
        <v>211</v>
      </c>
      <c r="E137" s="77">
        <v>1</v>
      </c>
      <c r="F137" s="77" t="s">
        <v>294</v>
      </c>
      <c r="G137" s="77" t="s">
        <v>158</v>
      </c>
      <c r="H137" s="77" t="s">
        <v>158</v>
      </c>
      <c r="I137" s="81" t="s">
        <v>158</v>
      </c>
      <c r="J137" s="78" t="s">
        <v>158</v>
      </c>
      <c r="K137" s="77" t="s">
        <v>158</v>
      </c>
      <c r="L137" s="77" t="s">
        <v>6</v>
      </c>
      <c r="M137" s="86" t="s">
        <v>158</v>
      </c>
      <c r="N137" s="77" t="s">
        <v>108</v>
      </c>
      <c r="O137" s="77" t="s">
        <v>318</v>
      </c>
      <c r="P137" s="77" t="s">
        <v>23</v>
      </c>
    </row>
    <row r="138" spans="2:16">
      <c r="B138" s="74" t="str">
        <f>IF(LEN(D138)&lt;10,CONCATENATE(LEFT(Inventario[[#This Row],[Área]],11),REPT(0,(10-LEN(D138))),D138),CONCATENATE(Inventario[Área],D138))</f>
        <v>1.2.8.13.0-0000000210</v>
      </c>
      <c r="C138" s="87"/>
      <c r="D138" s="76">
        <v>210</v>
      </c>
      <c r="E138" s="77">
        <v>1</v>
      </c>
      <c r="F138" s="77" t="s">
        <v>299</v>
      </c>
      <c r="G138" s="77" t="s">
        <v>158</v>
      </c>
      <c r="H138" s="77" t="s">
        <v>158</v>
      </c>
      <c r="I138" s="81" t="s">
        <v>158</v>
      </c>
      <c r="J138" s="78" t="s">
        <v>158</v>
      </c>
      <c r="K138" s="77" t="s">
        <v>158</v>
      </c>
      <c r="L138" s="77" t="s">
        <v>6</v>
      </c>
      <c r="M138" s="86" t="s">
        <v>158</v>
      </c>
      <c r="N138" s="77" t="s">
        <v>108</v>
      </c>
      <c r="O138" s="77" t="s">
        <v>318</v>
      </c>
      <c r="P138" s="77" t="s">
        <v>23</v>
      </c>
    </row>
    <row r="139" spans="2:16">
      <c r="B139" s="74" t="str">
        <f>IF(LEN(D139)&lt;10,CONCATENATE(LEFT(Inventario[[#This Row],[Área]],11),REPT(0,(10-LEN(D139))),D139),CONCATENATE(Inventario[Área],D139))</f>
        <v>1.2.8.13.0-0000000209</v>
      </c>
      <c r="C139" s="87"/>
      <c r="D139" s="76">
        <v>209</v>
      </c>
      <c r="E139" s="77">
        <v>1</v>
      </c>
      <c r="F139" s="77" t="s">
        <v>298</v>
      </c>
      <c r="G139" s="77" t="s">
        <v>158</v>
      </c>
      <c r="H139" s="77" t="s">
        <v>158</v>
      </c>
      <c r="I139" s="81" t="s">
        <v>158</v>
      </c>
      <c r="J139" s="78" t="s">
        <v>158</v>
      </c>
      <c r="K139" s="77" t="s">
        <v>158</v>
      </c>
      <c r="L139" s="77" t="s">
        <v>6</v>
      </c>
      <c r="M139" s="86" t="s">
        <v>158</v>
      </c>
      <c r="N139" s="77" t="s">
        <v>108</v>
      </c>
      <c r="O139" s="77" t="s">
        <v>318</v>
      </c>
      <c r="P139" s="77" t="s">
        <v>23</v>
      </c>
    </row>
    <row r="140" spans="2:16">
      <c r="B140" s="74" t="str">
        <f>IF(LEN(D140)&lt;10,CONCATENATE(LEFT(Inventario[[#This Row],[Área]],11),REPT(0,(10-LEN(D140))),D140),CONCATENATE(Inventario[Área],D140))</f>
        <v>1.2.8.13.0-0000000208</v>
      </c>
      <c r="C140" s="87"/>
      <c r="D140" s="76">
        <v>208</v>
      </c>
      <c r="E140" s="77">
        <v>1</v>
      </c>
      <c r="F140" s="77" t="s">
        <v>279</v>
      </c>
      <c r="G140" s="77" t="s">
        <v>158</v>
      </c>
      <c r="H140" s="77" t="s">
        <v>158</v>
      </c>
      <c r="I140" s="81" t="s">
        <v>158</v>
      </c>
      <c r="J140" s="78" t="s">
        <v>158</v>
      </c>
      <c r="K140" s="77" t="s">
        <v>158</v>
      </c>
      <c r="L140" s="77" t="s">
        <v>6</v>
      </c>
      <c r="M140" s="86" t="s">
        <v>158</v>
      </c>
      <c r="N140" s="77" t="s">
        <v>108</v>
      </c>
      <c r="O140" s="77" t="s">
        <v>318</v>
      </c>
      <c r="P140" s="77" t="s">
        <v>23</v>
      </c>
    </row>
    <row r="141" spans="2:16">
      <c r="B141" s="74" t="str">
        <f>IF(LEN(D141)&lt;10,CONCATENATE(LEFT(Inventario[[#This Row],[Área]],11),REPT(0,(10-LEN(D141))),D141),CONCATENATE(Inventario[Área],D141))</f>
        <v>1.2.8.13.0-0000000207</v>
      </c>
      <c r="C141" s="87"/>
      <c r="D141" s="76">
        <v>207</v>
      </c>
      <c r="E141" s="77">
        <v>1</v>
      </c>
      <c r="F141" s="77" t="s">
        <v>279</v>
      </c>
      <c r="G141" s="77" t="s">
        <v>158</v>
      </c>
      <c r="H141" s="77" t="s">
        <v>158</v>
      </c>
      <c r="I141" s="81" t="s">
        <v>158</v>
      </c>
      <c r="J141" s="78" t="s">
        <v>158</v>
      </c>
      <c r="K141" s="77" t="s">
        <v>158</v>
      </c>
      <c r="L141" s="77" t="s">
        <v>6</v>
      </c>
      <c r="M141" s="86" t="s">
        <v>158</v>
      </c>
      <c r="N141" s="77" t="s">
        <v>108</v>
      </c>
      <c r="O141" s="77" t="s">
        <v>318</v>
      </c>
      <c r="P141" s="77" t="s">
        <v>23</v>
      </c>
    </row>
    <row r="142" spans="2:16">
      <c r="B142" s="74" t="str">
        <f>IF(LEN(D142)&lt;10,CONCATENATE(LEFT(Inventario[[#This Row],[Área]],11),REPT(0,(10-LEN(D142))),D142),CONCATENATE(Inventario[Área],D142))</f>
        <v>1.2.8.13.0-0000000206</v>
      </c>
      <c r="C142" s="87"/>
      <c r="D142" s="76">
        <v>206</v>
      </c>
      <c r="E142" s="77">
        <v>1</v>
      </c>
      <c r="F142" s="77" t="s">
        <v>279</v>
      </c>
      <c r="G142" s="77" t="s">
        <v>158</v>
      </c>
      <c r="H142" s="77" t="s">
        <v>158</v>
      </c>
      <c r="I142" s="81" t="s">
        <v>158</v>
      </c>
      <c r="J142" s="78" t="s">
        <v>158</v>
      </c>
      <c r="K142" s="77" t="s">
        <v>158</v>
      </c>
      <c r="L142" s="77" t="s">
        <v>6</v>
      </c>
      <c r="M142" s="86" t="s">
        <v>158</v>
      </c>
      <c r="N142" s="77" t="s">
        <v>108</v>
      </c>
      <c r="O142" s="77" t="s">
        <v>318</v>
      </c>
      <c r="P142" s="77" t="s">
        <v>23</v>
      </c>
    </row>
    <row r="143" spans="2:16">
      <c r="B143" s="74" t="str">
        <f>IF(LEN(D143)&lt;10,CONCATENATE(LEFT(Inventario[[#This Row],[Área]],11),REPT(0,(10-LEN(D143))),D143),CONCATENATE(Inventario[Área],D143))</f>
        <v>1.2.8.13.0-0000000205</v>
      </c>
      <c r="C143" s="87"/>
      <c r="D143" s="76">
        <v>205</v>
      </c>
      <c r="E143" s="77">
        <v>1</v>
      </c>
      <c r="F143" s="77" t="s">
        <v>279</v>
      </c>
      <c r="G143" s="77" t="s">
        <v>158</v>
      </c>
      <c r="H143" s="77" t="s">
        <v>158</v>
      </c>
      <c r="I143" s="81" t="s">
        <v>158</v>
      </c>
      <c r="J143" s="78" t="s">
        <v>158</v>
      </c>
      <c r="K143" s="77" t="s">
        <v>158</v>
      </c>
      <c r="L143" s="77" t="s">
        <v>6</v>
      </c>
      <c r="M143" s="86" t="s">
        <v>158</v>
      </c>
      <c r="N143" s="77" t="s">
        <v>108</v>
      </c>
      <c r="O143" s="77" t="s">
        <v>318</v>
      </c>
      <c r="P143" s="77" t="s">
        <v>23</v>
      </c>
    </row>
    <row r="144" spans="2:16">
      <c r="B144" s="74" t="str">
        <f>IF(LEN(D144)&lt;10,CONCATENATE(LEFT(Inventario[[#This Row],[Área]],11),REPT(0,(10-LEN(D144))),D144),CONCATENATE(Inventario[Área],D144))</f>
        <v>1.2.8.13.0-0000000204</v>
      </c>
      <c r="C144" s="87"/>
      <c r="D144" s="76">
        <v>204</v>
      </c>
      <c r="E144" s="77">
        <v>1</v>
      </c>
      <c r="F144" s="77" t="s">
        <v>279</v>
      </c>
      <c r="G144" s="77" t="s">
        <v>158</v>
      </c>
      <c r="H144" s="77" t="s">
        <v>158</v>
      </c>
      <c r="I144" s="81" t="s">
        <v>158</v>
      </c>
      <c r="J144" s="78" t="s">
        <v>158</v>
      </c>
      <c r="K144" s="77" t="s">
        <v>158</v>
      </c>
      <c r="L144" s="77" t="s">
        <v>6</v>
      </c>
      <c r="M144" s="86" t="s">
        <v>158</v>
      </c>
      <c r="N144" s="77" t="s">
        <v>108</v>
      </c>
      <c r="O144" s="77" t="s">
        <v>318</v>
      </c>
      <c r="P144" s="77" t="s">
        <v>23</v>
      </c>
    </row>
    <row r="145" spans="2:16">
      <c r="B145" s="74" t="str">
        <f>IF(LEN(D145)&lt;10,CONCATENATE(LEFT(Inventario[[#This Row],[Área]],11),REPT(0,(10-LEN(D145))),D145),CONCATENATE(Inventario[Área],D145))</f>
        <v>1.2.8.13.0-0000000203</v>
      </c>
      <c r="C145" s="87"/>
      <c r="D145" s="76">
        <v>203</v>
      </c>
      <c r="E145" s="77">
        <v>1</v>
      </c>
      <c r="F145" s="77" t="s">
        <v>279</v>
      </c>
      <c r="G145" s="77" t="s">
        <v>158</v>
      </c>
      <c r="H145" s="77" t="s">
        <v>158</v>
      </c>
      <c r="I145" s="81" t="s">
        <v>158</v>
      </c>
      <c r="J145" s="78" t="s">
        <v>158</v>
      </c>
      <c r="K145" s="77" t="s">
        <v>158</v>
      </c>
      <c r="L145" s="77" t="s">
        <v>6</v>
      </c>
      <c r="M145" s="86" t="s">
        <v>158</v>
      </c>
      <c r="N145" s="77" t="s">
        <v>108</v>
      </c>
      <c r="O145" s="77" t="s">
        <v>318</v>
      </c>
      <c r="P145" s="77" t="s">
        <v>23</v>
      </c>
    </row>
    <row r="146" spans="2:16">
      <c r="B146" s="74" t="str">
        <f>IF(LEN(D146)&lt;10,CONCATENATE(LEFT(Inventario[[#This Row],[Área]],11),REPT(0,(10-LEN(D146))),D146),CONCATENATE(Inventario[Área],D146))</f>
        <v>1.2.8.13.0-0000000202</v>
      </c>
      <c r="C146" s="87"/>
      <c r="D146" s="76">
        <v>202</v>
      </c>
      <c r="E146" s="77">
        <v>1</v>
      </c>
      <c r="F146" s="77" t="s">
        <v>279</v>
      </c>
      <c r="G146" s="77" t="s">
        <v>158</v>
      </c>
      <c r="H146" s="77" t="s">
        <v>158</v>
      </c>
      <c r="I146" s="81" t="s">
        <v>158</v>
      </c>
      <c r="J146" s="78" t="s">
        <v>158</v>
      </c>
      <c r="K146" s="77" t="s">
        <v>158</v>
      </c>
      <c r="L146" s="77" t="s">
        <v>6</v>
      </c>
      <c r="M146" s="86" t="s">
        <v>158</v>
      </c>
      <c r="N146" s="77" t="s">
        <v>108</v>
      </c>
      <c r="O146" s="77" t="s">
        <v>318</v>
      </c>
      <c r="P146" s="77" t="s">
        <v>23</v>
      </c>
    </row>
    <row r="147" spans="2:16">
      <c r="B147" s="74" t="str">
        <f>IF(LEN(D147)&lt;10,CONCATENATE(LEFT(Inventario[[#This Row],[Área]],11),REPT(0,(10-LEN(D147))),D147),CONCATENATE(Inventario[Área],D147))</f>
        <v>1.2.8.13.0-0000000201</v>
      </c>
      <c r="C147" s="87"/>
      <c r="D147" s="76">
        <v>201</v>
      </c>
      <c r="E147" s="77">
        <v>1</v>
      </c>
      <c r="F147" s="77" t="s">
        <v>279</v>
      </c>
      <c r="G147" s="77" t="s">
        <v>158</v>
      </c>
      <c r="H147" s="77" t="s">
        <v>158</v>
      </c>
      <c r="I147" s="81" t="s">
        <v>158</v>
      </c>
      <c r="J147" s="78" t="s">
        <v>158</v>
      </c>
      <c r="K147" s="77" t="s">
        <v>158</v>
      </c>
      <c r="L147" s="77" t="s">
        <v>6</v>
      </c>
      <c r="M147" s="86" t="s">
        <v>158</v>
      </c>
      <c r="N147" s="77" t="s">
        <v>108</v>
      </c>
      <c r="O147" s="77" t="s">
        <v>318</v>
      </c>
      <c r="P147" s="77" t="s">
        <v>23</v>
      </c>
    </row>
    <row r="148" spans="2:16">
      <c r="B148" s="74" t="str">
        <f>IF(LEN(D148)&lt;10,CONCATENATE(LEFT(Inventario[[#This Row],[Área]],11),REPT(0,(10-LEN(D148))),D148),CONCATENATE(Inventario[Área],D148))</f>
        <v>1.2.8.13.0-0000000200</v>
      </c>
      <c r="C148" s="87"/>
      <c r="D148" s="76">
        <v>200</v>
      </c>
      <c r="E148" s="77">
        <v>1</v>
      </c>
      <c r="F148" s="77" t="s">
        <v>279</v>
      </c>
      <c r="G148" s="77" t="s">
        <v>158</v>
      </c>
      <c r="H148" s="77" t="s">
        <v>158</v>
      </c>
      <c r="I148" s="81" t="s">
        <v>158</v>
      </c>
      <c r="J148" s="78" t="s">
        <v>158</v>
      </c>
      <c r="K148" s="77" t="s">
        <v>158</v>
      </c>
      <c r="L148" s="77" t="s">
        <v>6</v>
      </c>
      <c r="M148" s="86" t="s">
        <v>158</v>
      </c>
      <c r="N148" s="77" t="s">
        <v>108</v>
      </c>
      <c r="O148" s="77" t="s">
        <v>318</v>
      </c>
      <c r="P148" s="77" t="s">
        <v>23</v>
      </c>
    </row>
    <row r="149" spans="2:16">
      <c r="B149" s="74" t="str">
        <f>IF(LEN(D149)&lt;10,CONCATENATE(LEFT(Inventario[[#This Row],[Área]],11),REPT(0,(10-LEN(D149))),D149),CONCATENATE(Inventario[Área],D149))</f>
        <v>1.2.8.13.0-0000000199</v>
      </c>
      <c r="C149" s="87"/>
      <c r="D149" s="76">
        <v>199</v>
      </c>
      <c r="E149" s="77">
        <v>1</v>
      </c>
      <c r="F149" s="77" t="s">
        <v>273</v>
      </c>
      <c r="G149" s="77" t="s">
        <v>158</v>
      </c>
      <c r="H149" s="77" t="s">
        <v>158</v>
      </c>
      <c r="I149" s="81" t="s">
        <v>158</v>
      </c>
      <c r="J149" s="78" t="s">
        <v>158</v>
      </c>
      <c r="K149" s="77" t="s">
        <v>158</v>
      </c>
      <c r="L149" s="77" t="s">
        <v>6</v>
      </c>
      <c r="M149" s="86" t="s">
        <v>158</v>
      </c>
      <c r="N149" s="77" t="s">
        <v>108</v>
      </c>
      <c r="O149" s="77" t="s">
        <v>318</v>
      </c>
      <c r="P149" s="77" t="s">
        <v>23</v>
      </c>
    </row>
    <row r="150" spans="2:16">
      <c r="B150" s="74" t="str">
        <f>IF(LEN(D150)&lt;10,CONCATENATE(LEFT(Inventario[[#This Row],[Área]],11),REPT(0,(10-LEN(D150))),D150),CONCATENATE(Inventario[Área],D150))</f>
        <v>1.2.8.13.0-0000000198</v>
      </c>
      <c r="C150" s="87"/>
      <c r="D150" s="76">
        <v>198</v>
      </c>
      <c r="E150" s="77">
        <v>1</v>
      </c>
      <c r="F150" s="77" t="s">
        <v>273</v>
      </c>
      <c r="G150" s="77" t="s">
        <v>158</v>
      </c>
      <c r="H150" s="77" t="s">
        <v>158</v>
      </c>
      <c r="I150" s="81" t="s">
        <v>158</v>
      </c>
      <c r="J150" s="78" t="s">
        <v>158</v>
      </c>
      <c r="K150" s="77" t="s">
        <v>158</v>
      </c>
      <c r="L150" s="77" t="s">
        <v>6</v>
      </c>
      <c r="M150" s="86" t="s">
        <v>158</v>
      </c>
      <c r="N150" s="77" t="s">
        <v>108</v>
      </c>
      <c r="O150" s="77" t="s">
        <v>318</v>
      </c>
      <c r="P150" s="77" t="s">
        <v>23</v>
      </c>
    </row>
    <row r="151" spans="2:16">
      <c r="B151" s="74" t="str">
        <f>IF(LEN(D151)&lt;10,CONCATENATE(LEFT(Inventario[[#This Row],[Área]],11),REPT(0,(10-LEN(D151))),D151),CONCATENATE(Inventario[Área],D151))</f>
        <v>1.2.8.13.0-0000000197</v>
      </c>
      <c r="C151" s="87"/>
      <c r="D151" s="76">
        <v>197</v>
      </c>
      <c r="E151" s="77">
        <v>1</v>
      </c>
      <c r="F151" s="77" t="s">
        <v>273</v>
      </c>
      <c r="G151" s="77" t="s">
        <v>158</v>
      </c>
      <c r="H151" s="77" t="s">
        <v>158</v>
      </c>
      <c r="I151" s="81" t="s">
        <v>158</v>
      </c>
      <c r="J151" s="78" t="s">
        <v>158</v>
      </c>
      <c r="K151" s="77" t="s">
        <v>158</v>
      </c>
      <c r="L151" s="77" t="s">
        <v>6</v>
      </c>
      <c r="M151" s="86" t="s">
        <v>158</v>
      </c>
      <c r="N151" s="77" t="s">
        <v>108</v>
      </c>
      <c r="O151" s="77" t="s">
        <v>318</v>
      </c>
      <c r="P151" s="77" t="s">
        <v>23</v>
      </c>
    </row>
    <row r="152" spans="2:16">
      <c r="B152" s="74" t="str">
        <f>IF(LEN(D152)&lt;10,CONCATENATE(LEFT(Inventario[[#This Row],[Área]],11),REPT(0,(10-LEN(D152))),D152),CONCATENATE(Inventario[Área],D152))</f>
        <v>1.2.8.13.0-0000000196</v>
      </c>
      <c r="C152" s="87"/>
      <c r="D152" s="76">
        <v>196</v>
      </c>
      <c r="E152" s="77">
        <v>1</v>
      </c>
      <c r="F152" s="77" t="s">
        <v>273</v>
      </c>
      <c r="G152" s="77" t="s">
        <v>158</v>
      </c>
      <c r="H152" s="77" t="s">
        <v>158</v>
      </c>
      <c r="I152" s="81" t="s">
        <v>158</v>
      </c>
      <c r="J152" s="78" t="s">
        <v>158</v>
      </c>
      <c r="K152" s="77" t="s">
        <v>158</v>
      </c>
      <c r="L152" s="77" t="s">
        <v>6</v>
      </c>
      <c r="M152" s="86" t="s">
        <v>158</v>
      </c>
      <c r="N152" s="77" t="s">
        <v>108</v>
      </c>
      <c r="O152" s="77" t="s">
        <v>318</v>
      </c>
      <c r="P152" s="77" t="s">
        <v>23</v>
      </c>
    </row>
    <row r="153" spans="2:16">
      <c r="B153" s="74" t="str">
        <f>IF(LEN(D153)&lt;10,CONCATENATE(LEFT(Inventario[[#This Row],[Área]],11),REPT(0,(10-LEN(D153))),D153),CONCATENATE(Inventario[Área],D153))</f>
        <v>1.2.8.13.0-0000000195</v>
      </c>
      <c r="C153" s="87"/>
      <c r="D153" s="76">
        <v>195</v>
      </c>
      <c r="E153" s="77">
        <v>1</v>
      </c>
      <c r="F153" s="77" t="s">
        <v>273</v>
      </c>
      <c r="G153" s="77" t="s">
        <v>158</v>
      </c>
      <c r="H153" s="77" t="s">
        <v>158</v>
      </c>
      <c r="I153" s="81" t="s">
        <v>158</v>
      </c>
      <c r="J153" s="78" t="s">
        <v>158</v>
      </c>
      <c r="K153" s="77" t="s">
        <v>158</v>
      </c>
      <c r="L153" s="77" t="s">
        <v>6</v>
      </c>
      <c r="M153" s="86" t="s">
        <v>158</v>
      </c>
      <c r="N153" s="77" t="s">
        <v>108</v>
      </c>
      <c r="O153" s="77" t="s">
        <v>318</v>
      </c>
      <c r="P153" s="77" t="s">
        <v>23</v>
      </c>
    </row>
    <row r="154" spans="2:16">
      <c r="B154" s="74" t="str">
        <f>IF(LEN(D154)&lt;10,CONCATENATE(LEFT(Inventario[[#This Row],[Área]],11),REPT(0,(10-LEN(D154))),D154),CONCATENATE(Inventario[Área],D154))</f>
        <v>1.2.8.13.0-0000000194</v>
      </c>
      <c r="C154" s="87"/>
      <c r="D154" s="76">
        <v>194</v>
      </c>
      <c r="E154" s="77">
        <v>1</v>
      </c>
      <c r="F154" s="77" t="s">
        <v>273</v>
      </c>
      <c r="G154" s="77" t="s">
        <v>158</v>
      </c>
      <c r="H154" s="77" t="s">
        <v>158</v>
      </c>
      <c r="I154" s="81" t="s">
        <v>158</v>
      </c>
      <c r="J154" s="78" t="s">
        <v>158</v>
      </c>
      <c r="K154" s="77" t="s">
        <v>158</v>
      </c>
      <c r="L154" s="77" t="s">
        <v>6</v>
      </c>
      <c r="M154" s="86" t="s">
        <v>158</v>
      </c>
      <c r="N154" s="77" t="s">
        <v>108</v>
      </c>
      <c r="O154" s="77" t="s">
        <v>318</v>
      </c>
      <c r="P154" s="77" t="s">
        <v>23</v>
      </c>
    </row>
    <row r="155" spans="2:16">
      <c r="B155" s="74" t="str">
        <f>IF(LEN(D155)&lt;10,CONCATENATE(LEFT(Inventario[[#This Row],[Área]],11),REPT(0,(10-LEN(D155))),D155),CONCATENATE(Inventario[Área],D155))</f>
        <v>1.2.8.13.0-0000000193</v>
      </c>
      <c r="C155" s="87"/>
      <c r="D155" s="76">
        <v>193</v>
      </c>
      <c r="E155" s="77">
        <v>1</v>
      </c>
      <c r="F155" s="77" t="s">
        <v>297</v>
      </c>
      <c r="G155" s="77" t="s">
        <v>158</v>
      </c>
      <c r="H155" s="77" t="s">
        <v>158</v>
      </c>
      <c r="I155" s="81" t="s">
        <v>158</v>
      </c>
      <c r="J155" s="78" t="s">
        <v>158</v>
      </c>
      <c r="K155" s="77" t="s">
        <v>158</v>
      </c>
      <c r="L155" s="77" t="s">
        <v>6</v>
      </c>
      <c r="M155" s="86" t="s">
        <v>158</v>
      </c>
      <c r="N155" s="77" t="s">
        <v>108</v>
      </c>
      <c r="O155" s="77" t="s">
        <v>318</v>
      </c>
      <c r="P155" s="77" t="s">
        <v>23</v>
      </c>
    </row>
    <row r="156" spans="2:16">
      <c r="B156" s="74" t="str">
        <f>IF(LEN(D156)&lt;10,CONCATENATE(LEFT(Inventario[[#This Row],[Área]],11),REPT(0,(10-LEN(D156))),D156),CONCATENATE(Inventario[Área],D156))</f>
        <v>1.2.8.13.0-0000000192</v>
      </c>
      <c r="C156" s="87"/>
      <c r="D156" s="76">
        <v>192</v>
      </c>
      <c r="E156" s="77">
        <v>1</v>
      </c>
      <c r="F156" s="77" t="s">
        <v>297</v>
      </c>
      <c r="G156" s="77" t="s">
        <v>158</v>
      </c>
      <c r="H156" s="77" t="s">
        <v>158</v>
      </c>
      <c r="I156" s="81" t="s">
        <v>158</v>
      </c>
      <c r="J156" s="78" t="s">
        <v>158</v>
      </c>
      <c r="K156" s="77" t="s">
        <v>158</v>
      </c>
      <c r="L156" s="77" t="s">
        <v>6</v>
      </c>
      <c r="M156" s="86" t="s">
        <v>158</v>
      </c>
      <c r="N156" s="77" t="s">
        <v>108</v>
      </c>
      <c r="O156" s="77" t="s">
        <v>318</v>
      </c>
      <c r="P156" s="77" t="s">
        <v>23</v>
      </c>
    </row>
    <row r="157" spans="2:16">
      <c r="B157" s="74" t="str">
        <f>IF(LEN(D157)&lt;10,CONCATENATE(LEFT(Inventario[[#This Row],[Área]],11),REPT(0,(10-LEN(D157))),D157),CONCATENATE(Inventario[Área],D157))</f>
        <v>1.2.8.13.0-0000000191</v>
      </c>
      <c r="C157" s="87"/>
      <c r="D157" s="76">
        <v>191</v>
      </c>
      <c r="E157" s="77">
        <v>1</v>
      </c>
      <c r="F157" s="77" t="s">
        <v>297</v>
      </c>
      <c r="G157" s="77" t="s">
        <v>158</v>
      </c>
      <c r="H157" s="77" t="s">
        <v>158</v>
      </c>
      <c r="I157" s="81" t="s">
        <v>158</v>
      </c>
      <c r="J157" s="78" t="s">
        <v>158</v>
      </c>
      <c r="K157" s="77" t="s">
        <v>158</v>
      </c>
      <c r="L157" s="77" t="s">
        <v>6</v>
      </c>
      <c r="M157" s="86" t="s">
        <v>158</v>
      </c>
      <c r="N157" s="77" t="s">
        <v>108</v>
      </c>
      <c r="O157" s="77" t="s">
        <v>318</v>
      </c>
      <c r="P157" s="77" t="s">
        <v>23</v>
      </c>
    </row>
    <row r="158" spans="2:16">
      <c r="B158" s="74" t="str">
        <f>IF(LEN(D158)&lt;10,CONCATENATE(LEFT(Inventario[[#This Row],[Área]],11),REPT(0,(10-LEN(D158))),D158),CONCATENATE(Inventario[Área],D158))</f>
        <v>1.2.8.13.0-0000000190</v>
      </c>
      <c r="C158" s="87"/>
      <c r="D158" s="76">
        <v>190</v>
      </c>
      <c r="E158" s="77">
        <v>1</v>
      </c>
      <c r="F158" s="77" t="s">
        <v>278</v>
      </c>
      <c r="G158" s="77" t="s">
        <v>158</v>
      </c>
      <c r="H158" s="77" t="s">
        <v>158</v>
      </c>
      <c r="I158" s="81" t="s">
        <v>158</v>
      </c>
      <c r="J158" s="78" t="s">
        <v>158</v>
      </c>
      <c r="K158" s="77" t="s">
        <v>158</v>
      </c>
      <c r="L158" s="77" t="s">
        <v>6</v>
      </c>
      <c r="M158" s="86" t="s">
        <v>158</v>
      </c>
      <c r="N158" s="77" t="s">
        <v>108</v>
      </c>
      <c r="O158" s="77" t="s">
        <v>318</v>
      </c>
      <c r="P158" s="77" t="s">
        <v>23</v>
      </c>
    </row>
    <row r="159" spans="2:16">
      <c r="B159" s="74" t="str">
        <f>IF(LEN(D159)&lt;10,CONCATENATE(LEFT(Inventario[[#This Row],[Área]],11),REPT(0,(10-LEN(D159))),D159),CONCATENATE(Inventario[Área],D159))</f>
        <v>1.2.8.13.0-0000000189</v>
      </c>
      <c r="C159" s="87"/>
      <c r="D159" s="76">
        <v>189</v>
      </c>
      <c r="E159" s="77">
        <v>1</v>
      </c>
      <c r="F159" s="77" t="s">
        <v>278</v>
      </c>
      <c r="G159" s="77" t="s">
        <v>158</v>
      </c>
      <c r="H159" s="77" t="s">
        <v>158</v>
      </c>
      <c r="I159" s="81" t="s">
        <v>158</v>
      </c>
      <c r="J159" s="78" t="s">
        <v>158</v>
      </c>
      <c r="K159" s="77" t="s">
        <v>158</v>
      </c>
      <c r="L159" s="77" t="s">
        <v>6</v>
      </c>
      <c r="M159" s="86" t="s">
        <v>158</v>
      </c>
      <c r="N159" s="77" t="s">
        <v>108</v>
      </c>
      <c r="O159" s="77" t="s">
        <v>318</v>
      </c>
      <c r="P159" s="77" t="s">
        <v>23</v>
      </c>
    </row>
    <row r="160" spans="2:16">
      <c r="B160" s="74" t="str">
        <f>IF(LEN(D160)&lt;10,CONCATENATE(LEFT(Inventario[[#This Row],[Área]],11),REPT(0,(10-LEN(D160))),D160),CONCATENATE(Inventario[Área],D160))</f>
        <v>1.2.8.13.0-0000000188</v>
      </c>
      <c r="C160" s="87"/>
      <c r="D160" s="76">
        <v>188</v>
      </c>
      <c r="E160" s="77">
        <v>1</v>
      </c>
      <c r="F160" s="77" t="s">
        <v>278</v>
      </c>
      <c r="G160" s="77" t="s">
        <v>158</v>
      </c>
      <c r="H160" s="77" t="s">
        <v>158</v>
      </c>
      <c r="I160" s="81" t="s">
        <v>158</v>
      </c>
      <c r="J160" s="78" t="s">
        <v>158</v>
      </c>
      <c r="K160" s="77" t="s">
        <v>158</v>
      </c>
      <c r="L160" s="77" t="s">
        <v>6</v>
      </c>
      <c r="M160" s="86" t="s">
        <v>158</v>
      </c>
      <c r="N160" s="77" t="s">
        <v>108</v>
      </c>
      <c r="O160" s="77" t="s">
        <v>318</v>
      </c>
      <c r="P160" s="77" t="s">
        <v>23</v>
      </c>
    </row>
    <row r="161" spans="2:16">
      <c r="B161" s="74" t="str">
        <f>IF(LEN(D161)&lt;10,CONCATENATE(LEFT(Inventario[[#This Row],[Área]],11),REPT(0,(10-LEN(D161))),D161),CONCATENATE(Inventario[Área],D161))</f>
        <v>1.2.8.13.0-0000000187</v>
      </c>
      <c r="C161" s="87"/>
      <c r="D161" s="76">
        <v>187</v>
      </c>
      <c r="E161" s="77">
        <v>1</v>
      </c>
      <c r="F161" s="77" t="s">
        <v>278</v>
      </c>
      <c r="G161" s="77" t="s">
        <v>158</v>
      </c>
      <c r="H161" s="77" t="s">
        <v>158</v>
      </c>
      <c r="I161" s="81" t="s">
        <v>158</v>
      </c>
      <c r="J161" s="78" t="s">
        <v>158</v>
      </c>
      <c r="K161" s="77" t="s">
        <v>158</v>
      </c>
      <c r="L161" s="77" t="s">
        <v>6</v>
      </c>
      <c r="M161" s="86" t="s">
        <v>158</v>
      </c>
      <c r="N161" s="77" t="s">
        <v>108</v>
      </c>
      <c r="O161" s="77" t="s">
        <v>318</v>
      </c>
      <c r="P161" s="77" t="s">
        <v>23</v>
      </c>
    </row>
    <row r="162" spans="2:16">
      <c r="B162" s="74" t="str">
        <f>IF(LEN(D162)&lt;10,CONCATENATE(LEFT(Inventario[[#This Row],[Área]],11),REPT(0,(10-LEN(D162))),D162),CONCATENATE(Inventario[Área],D162))</f>
        <v>1.2.8.13.0-0000000186</v>
      </c>
      <c r="C162" s="87"/>
      <c r="D162" s="76">
        <v>186</v>
      </c>
      <c r="E162" s="77">
        <v>1</v>
      </c>
      <c r="F162" s="77" t="s">
        <v>278</v>
      </c>
      <c r="G162" s="77" t="s">
        <v>158</v>
      </c>
      <c r="H162" s="77" t="s">
        <v>158</v>
      </c>
      <c r="I162" s="81" t="s">
        <v>158</v>
      </c>
      <c r="J162" s="78" t="s">
        <v>158</v>
      </c>
      <c r="K162" s="77" t="s">
        <v>158</v>
      </c>
      <c r="L162" s="77" t="s">
        <v>6</v>
      </c>
      <c r="M162" s="86" t="s">
        <v>158</v>
      </c>
      <c r="N162" s="77" t="s">
        <v>108</v>
      </c>
      <c r="O162" s="77" t="s">
        <v>318</v>
      </c>
      <c r="P162" s="77" t="s">
        <v>23</v>
      </c>
    </row>
    <row r="163" spans="2:16">
      <c r="B163" s="74" t="str">
        <f>IF(LEN(D163)&lt;10,CONCATENATE(LEFT(Inventario[[#This Row],[Área]],11),REPT(0,(10-LEN(D163))),D163),CONCATENATE(Inventario[Área],D163))</f>
        <v>1.2.8.13.0-0000000185</v>
      </c>
      <c r="C163" s="87"/>
      <c r="D163" s="76">
        <v>185</v>
      </c>
      <c r="E163" s="77">
        <v>1</v>
      </c>
      <c r="F163" s="77" t="s">
        <v>278</v>
      </c>
      <c r="G163" s="77" t="s">
        <v>158</v>
      </c>
      <c r="H163" s="77" t="s">
        <v>158</v>
      </c>
      <c r="I163" s="81" t="s">
        <v>158</v>
      </c>
      <c r="J163" s="78" t="s">
        <v>158</v>
      </c>
      <c r="K163" s="77" t="s">
        <v>158</v>
      </c>
      <c r="L163" s="77" t="s">
        <v>6</v>
      </c>
      <c r="M163" s="86" t="s">
        <v>158</v>
      </c>
      <c r="N163" s="77" t="s">
        <v>108</v>
      </c>
      <c r="O163" s="77" t="s">
        <v>318</v>
      </c>
      <c r="P163" s="77" t="s">
        <v>23</v>
      </c>
    </row>
    <row r="164" spans="2:16">
      <c r="B164" s="74" t="str">
        <f>IF(LEN(D164)&lt;10,CONCATENATE(LEFT(Inventario[[#This Row],[Área]],11),REPT(0,(10-LEN(D164))),D164),CONCATENATE(Inventario[Área],D164))</f>
        <v>1.2.8.13.0-0000000184</v>
      </c>
      <c r="C164" s="87"/>
      <c r="D164" s="76">
        <v>184</v>
      </c>
      <c r="E164" s="77">
        <v>1</v>
      </c>
      <c r="F164" s="77" t="s">
        <v>278</v>
      </c>
      <c r="G164" s="77" t="s">
        <v>158</v>
      </c>
      <c r="H164" s="77" t="s">
        <v>158</v>
      </c>
      <c r="I164" s="81" t="s">
        <v>158</v>
      </c>
      <c r="J164" s="78" t="s">
        <v>158</v>
      </c>
      <c r="K164" s="77" t="s">
        <v>158</v>
      </c>
      <c r="L164" s="77" t="s">
        <v>6</v>
      </c>
      <c r="M164" s="86" t="s">
        <v>158</v>
      </c>
      <c r="N164" s="77" t="s">
        <v>108</v>
      </c>
      <c r="O164" s="77" t="s">
        <v>318</v>
      </c>
      <c r="P164" s="77" t="s">
        <v>23</v>
      </c>
    </row>
    <row r="165" spans="2:16">
      <c r="B165" s="74" t="str">
        <f>IF(LEN(D165)&lt;10,CONCATENATE(LEFT(Inventario[[#This Row],[Área]],11),REPT(0,(10-LEN(D165))),D165),CONCATENATE(Inventario[Área],D165))</f>
        <v>1.2.8.13.0-0000000183</v>
      </c>
      <c r="C165" s="87"/>
      <c r="D165" s="76">
        <v>183</v>
      </c>
      <c r="E165" s="77">
        <v>1</v>
      </c>
      <c r="F165" s="77" t="s">
        <v>278</v>
      </c>
      <c r="G165" s="77" t="s">
        <v>158</v>
      </c>
      <c r="H165" s="77" t="s">
        <v>158</v>
      </c>
      <c r="I165" s="81" t="s">
        <v>158</v>
      </c>
      <c r="J165" s="78" t="s">
        <v>158</v>
      </c>
      <c r="K165" s="77" t="s">
        <v>158</v>
      </c>
      <c r="L165" s="77" t="s">
        <v>6</v>
      </c>
      <c r="M165" s="86" t="s">
        <v>158</v>
      </c>
      <c r="N165" s="77" t="s">
        <v>108</v>
      </c>
      <c r="O165" s="77" t="s">
        <v>318</v>
      </c>
      <c r="P165" s="77" t="s">
        <v>23</v>
      </c>
    </row>
    <row r="166" spans="2:16">
      <c r="B166" s="74" t="str">
        <f>IF(LEN(D166)&lt;10,CONCATENATE(LEFT(Inventario[[#This Row],[Área]],11),REPT(0,(10-LEN(D166))),D166),CONCATENATE(Inventario[Área],D166))</f>
        <v>1.2.8.13.0-0000000182</v>
      </c>
      <c r="C166" s="87"/>
      <c r="D166" s="76">
        <v>182</v>
      </c>
      <c r="E166" s="77">
        <v>1</v>
      </c>
      <c r="F166" s="77" t="s">
        <v>278</v>
      </c>
      <c r="G166" s="77" t="s">
        <v>158</v>
      </c>
      <c r="H166" s="77" t="s">
        <v>158</v>
      </c>
      <c r="I166" s="81" t="s">
        <v>158</v>
      </c>
      <c r="J166" s="78" t="s">
        <v>158</v>
      </c>
      <c r="K166" s="77" t="s">
        <v>158</v>
      </c>
      <c r="L166" s="77" t="s">
        <v>6</v>
      </c>
      <c r="M166" s="86" t="s">
        <v>158</v>
      </c>
      <c r="N166" s="77" t="s">
        <v>108</v>
      </c>
      <c r="O166" s="77" t="s">
        <v>318</v>
      </c>
      <c r="P166" s="77" t="s">
        <v>23</v>
      </c>
    </row>
    <row r="167" spans="2:16">
      <c r="B167" s="74" t="str">
        <f>IF(LEN(D167)&lt;10,CONCATENATE(LEFT(Inventario[[#This Row],[Área]],11),REPT(0,(10-LEN(D167))),D167),CONCATENATE(Inventario[Área],D167))</f>
        <v>1.2.8.13.0-0000000181</v>
      </c>
      <c r="C167" s="87"/>
      <c r="D167" s="76">
        <v>181</v>
      </c>
      <c r="E167" s="77">
        <v>1</v>
      </c>
      <c r="F167" s="77" t="s">
        <v>278</v>
      </c>
      <c r="G167" s="77" t="s">
        <v>158</v>
      </c>
      <c r="H167" s="77" t="s">
        <v>158</v>
      </c>
      <c r="I167" s="81" t="s">
        <v>158</v>
      </c>
      <c r="J167" s="78" t="s">
        <v>158</v>
      </c>
      <c r="K167" s="77" t="s">
        <v>158</v>
      </c>
      <c r="L167" s="77" t="s">
        <v>6</v>
      </c>
      <c r="M167" s="86" t="s">
        <v>158</v>
      </c>
      <c r="N167" s="77" t="s">
        <v>108</v>
      </c>
      <c r="O167" s="77" t="s">
        <v>318</v>
      </c>
      <c r="P167" s="77" t="s">
        <v>23</v>
      </c>
    </row>
    <row r="168" spans="2:16">
      <c r="B168" s="74" t="str">
        <f>IF(LEN(D168)&lt;10,CONCATENATE(LEFT(Inventario[[#This Row],[Área]],11),REPT(0,(10-LEN(D168))),D168),CONCATENATE(Inventario[Área],D168))</f>
        <v>1.2.8.13.0-0000000180</v>
      </c>
      <c r="C168" s="87"/>
      <c r="D168" s="76">
        <v>180</v>
      </c>
      <c r="E168" s="77">
        <v>1</v>
      </c>
      <c r="F168" s="77" t="s">
        <v>278</v>
      </c>
      <c r="G168" s="77" t="s">
        <v>158</v>
      </c>
      <c r="H168" s="77" t="s">
        <v>158</v>
      </c>
      <c r="I168" s="81" t="s">
        <v>158</v>
      </c>
      <c r="J168" s="78" t="s">
        <v>158</v>
      </c>
      <c r="K168" s="77" t="s">
        <v>158</v>
      </c>
      <c r="L168" s="77" t="s">
        <v>6</v>
      </c>
      <c r="M168" s="86" t="s">
        <v>158</v>
      </c>
      <c r="N168" s="77" t="s">
        <v>108</v>
      </c>
      <c r="O168" s="77" t="s">
        <v>318</v>
      </c>
      <c r="P168" s="77" t="s">
        <v>23</v>
      </c>
    </row>
    <row r="169" spans="2:16">
      <c r="B169" s="74" t="str">
        <f>IF(LEN(D169)&lt;10,CONCATENATE(LEFT(Inventario[[#This Row],[Área]],11),REPT(0,(10-LEN(D169))),D169),CONCATENATE(Inventario[Área],D169))</f>
        <v>1.2.8.13.0-0000000179</v>
      </c>
      <c r="C169" s="87"/>
      <c r="D169" s="76">
        <v>179</v>
      </c>
      <c r="E169" s="77">
        <v>1</v>
      </c>
      <c r="F169" s="77" t="s">
        <v>278</v>
      </c>
      <c r="G169" s="77" t="s">
        <v>158</v>
      </c>
      <c r="H169" s="77" t="s">
        <v>158</v>
      </c>
      <c r="I169" s="81" t="s">
        <v>158</v>
      </c>
      <c r="J169" s="78" t="s">
        <v>158</v>
      </c>
      <c r="K169" s="77" t="s">
        <v>158</v>
      </c>
      <c r="L169" s="77" t="s">
        <v>6</v>
      </c>
      <c r="M169" s="86" t="s">
        <v>158</v>
      </c>
      <c r="N169" s="77" t="s">
        <v>108</v>
      </c>
      <c r="O169" s="77" t="s">
        <v>318</v>
      </c>
      <c r="P169" s="77" t="s">
        <v>23</v>
      </c>
    </row>
    <row r="170" spans="2:16">
      <c r="B170" s="74" t="str">
        <f>IF(LEN(D170)&lt;10,CONCATENATE(LEFT(Inventario[[#This Row],[Área]],11),REPT(0,(10-LEN(D170))),D170),CONCATENATE(Inventario[Área],D170))</f>
        <v>1.2.8.13.0-0000000178</v>
      </c>
      <c r="C170" s="87"/>
      <c r="D170" s="76">
        <v>178</v>
      </c>
      <c r="E170" s="77">
        <v>1</v>
      </c>
      <c r="F170" s="77" t="s">
        <v>278</v>
      </c>
      <c r="G170" s="77" t="s">
        <v>158</v>
      </c>
      <c r="H170" s="77" t="s">
        <v>158</v>
      </c>
      <c r="I170" s="81" t="s">
        <v>158</v>
      </c>
      <c r="J170" s="78" t="s">
        <v>158</v>
      </c>
      <c r="K170" s="77" t="s">
        <v>158</v>
      </c>
      <c r="L170" s="77" t="s">
        <v>6</v>
      </c>
      <c r="M170" s="86" t="s">
        <v>158</v>
      </c>
      <c r="N170" s="77" t="s">
        <v>108</v>
      </c>
      <c r="O170" s="77" t="s">
        <v>318</v>
      </c>
      <c r="P170" s="77" t="s">
        <v>23</v>
      </c>
    </row>
    <row r="171" spans="2:16">
      <c r="B171" s="74" t="str">
        <f>IF(LEN(D171)&lt;10,CONCATENATE(LEFT(Inventario[[#This Row],[Área]],11),REPT(0,(10-LEN(D171))),D171),CONCATENATE(Inventario[Área],D171))</f>
        <v>1.2.8.13.0-0000000177</v>
      </c>
      <c r="C171" s="87"/>
      <c r="D171" s="76">
        <v>177</v>
      </c>
      <c r="E171" s="77">
        <v>1</v>
      </c>
      <c r="F171" s="77" t="s">
        <v>278</v>
      </c>
      <c r="G171" s="77" t="s">
        <v>158</v>
      </c>
      <c r="H171" s="77" t="s">
        <v>158</v>
      </c>
      <c r="I171" s="81" t="s">
        <v>158</v>
      </c>
      <c r="J171" s="78" t="s">
        <v>158</v>
      </c>
      <c r="K171" s="77" t="s">
        <v>158</v>
      </c>
      <c r="L171" s="77" t="s">
        <v>6</v>
      </c>
      <c r="M171" s="86" t="s">
        <v>158</v>
      </c>
      <c r="N171" s="77" t="s">
        <v>108</v>
      </c>
      <c r="O171" s="77" t="s">
        <v>318</v>
      </c>
      <c r="P171" s="77" t="s">
        <v>23</v>
      </c>
    </row>
    <row r="172" spans="2:16">
      <c r="B172" s="74" t="str">
        <f>IF(LEN(D172)&lt;10,CONCATENATE(LEFT(Inventario[[#This Row],[Área]],11),REPT(0,(10-LEN(D172))),D172),CONCATENATE(Inventario[Área],D172))</f>
        <v>1.2.8.13.0-0000000176</v>
      </c>
      <c r="C172" s="87"/>
      <c r="D172" s="76">
        <v>176</v>
      </c>
      <c r="E172" s="77">
        <v>1</v>
      </c>
      <c r="F172" s="77" t="s">
        <v>296</v>
      </c>
      <c r="G172" s="77" t="s">
        <v>158</v>
      </c>
      <c r="H172" s="77" t="s">
        <v>158</v>
      </c>
      <c r="I172" s="81" t="s">
        <v>158</v>
      </c>
      <c r="J172" s="78" t="s">
        <v>158</v>
      </c>
      <c r="K172" s="77" t="s">
        <v>158</v>
      </c>
      <c r="L172" s="77" t="s">
        <v>6</v>
      </c>
      <c r="M172" s="86" t="s">
        <v>158</v>
      </c>
      <c r="N172" s="77" t="s">
        <v>108</v>
      </c>
      <c r="O172" s="77" t="s">
        <v>318</v>
      </c>
      <c r="P172" s="77" t="s">
        <v>23</v>
      </c>
    </row>
    <row r="173" spans="2:16">
      <c r="B173" s="74" t="str">
        <f>IF(LEN(D173)&lt;10,CONCATENATE(LEFT(Inventario[[#This Row],[Área]],11),REPT(0,(10-LEN(D173))),D173),CONCATENATE(Inventario[Área],D173))</f>
        <v>1.2.8.13.0-0000000175</v>
      </c>
      <c r="C173" s="87"/>
      <c r="D173" s="76">
        <v>175</v>
      </c>
      <c r="E173" s="77">
        <v>1</v>
      </c>
      <c r="F173" s="77" t="s">
        <v>295</v>
      </c>
      <c r="G173" s="77" t="s">
        <v>158</v>
      </c>
      <c r="H173" s="77" t="s">
        <v>158</v>
      </c>
      <c r="I173" s="81" t="s">
        <v>158</v>
      </c>
      <c r="J173" s="78" t="s">
        <v>158</v>
      </c>
      <c r="K173" s="77" t="s">
        <v>158</v>
      </c>
      <c r="L173" s="77" t="s">
        <v>6</v>
      </c>
      <c r="M173" s="86" t="s">
        <v>158</v>
      </c>
      <c r="N173" s="77" t="s">
        <v>108</v>
      </c>
      <c r="O173" s="77" t="s">
        <v>318</v>
      </c>
      <c r="P173" s="77" t="s">
        <v>23</v>
      </c>
    </row>
    <row r="174" spans="2:16">
      <c r="B174" s="74" t="str">
        <f>IF(LEN(D174)&lt;10,CONCATENATE(LEFT(Inventario[[#This Row],[Área]],11),REPT(0,(10-LEN(D174))),D174),CONCATENATE(Inventario[Área],D174))</f>
        <v>1.2.8.13.0-0000000174</v>
      </c>
      <c r="C174" s="87"/>
      <c r="D174" s="76">
        <v>174</v>
      </c>
      <c r="E174" s="77">
        <v>1</v>
      </c>
      <c r="F174" s="77" t="s">
        <v>295</v>
      </c>
      <c r="G174" s="77" t="s">
        <v>158</v>
      </c>
      <c r="H174" s="77" t="s">
        <v>158</v>
      </c>
      <c r="I174" s="81" t="s">
        <v>158</v>
      </c>
      <c r="J174" s="78" t="s">
        <v>158</v>
      </c>
      <c r="K174" s="77" t="s">
        <v>158</v>
      </c>
      <c r="L174" s="77" t="s">
        <v>6</v>
      </c>
      <c r="M174" s="86" t="s">
        <v>158</v>
      </c>
      <c r="N174" s="77" t="s">
        <v>108</v>
      </c>
      <c r="O174" s="77" t="s">
        <v>318</v>
      </c>
      <c r="P174" s="77" t="s">
        <v>23</v>
      </c>
    </row>
    <row r="175" spans="2:16">
      <c r="B175" s="74" t="str">
        <f>IF(LEN(D175)&lt;10,CONCATENATE(LEFT(Inventario[[#This Row],[Área]],11),REPT(0,(10-LEN(D175))),D175),CONCATENATE(Inventario[Área],D175))</f>
        <v>1.2.8.13.0-0000000173</v>
      </c>
      <c r="C175" s="87"/>
      <c r="D175" s="76">
        <v>173</v>
      </c>
      <c r="E175" s="77">
        <v>1</v>
      </c>
      <c r="F175" s="77" t="s">
        <v>295</v>
      </c>
      <c r="G175" s="77" t="s">
        <v>158</v>
      </c>
      <c r="H175" s="77" t="s">
        <v>158</v>
      </c>
      <c r="I175" s="81" t="s">
        <v>158</v>
      </c>
      <c r="J175" s="78" t="s">
        <v>158</v>
      </c>
      <c r="K175" s="77" t="s">
        <v>158</v>
      </c>
      <c r="L175" s="77" t="s">
        <v>6</v>
      </c>
      <c r="M175" s="86" t="s">
        <v>158</v>
      </c>
      <c r="N175" s="77" t="s">
        <v>108</v>
      </c>
      <c r="O175" s="77" t="s">
        <v>318</v>
      </c>
      <c r="P175" s="77" t="s">
        <v>23</v>
      </c>
    </row>
    <row r="176" spans="2:16">
      <c r="B176" s="74" t="str">
        <f>IF(LEN(D176)&lt;10,CONCATENATE(LEFT(Inventario[[#This Row],[Área]],11),REPT(0,(10-LEN(D176))),D176),CONCATENATE(Inventario[Área],D176))</f>
        <v>1.2.8.13.0-0000000172</v>
      </c>
      <c r="C176" s="87"/>
      <c r="D176" s="76">
        <v>172</v>
      </c>
      <c r="E176" s="77">
        <v>1</v>
      </c>
      <c r="F176" s="77" t="s">
        <v>294</v>
      </c>
      <c r="G176" s="77" t="s">
        <v>158</v>
      </c>
      <c r="H176" s="77" t="s">
        <v>158</v>
      </c>
      <c r="I176" s="81" t="s">
        <v>158</v>
      </c>
      <c r="J176" s="78" t="s">
        <v>158</v>
      </c>
      <c r="K176" s="77" t="s">
        <v>158</v>
      </c>
      <c r="L176" s="77" t="s">
        <v>6</v>
      </c>
      <c r="M176" s="86" t="s">
        <v>158</v>
      </c>
      <c r="N176" s="77" t="s">
        <v>108</v>
      </c>
      <c r="O176" s="77" t="s">
        <v>318</v>
      </c>
      <c r="P176" s="77" t="s">
        <v>23</v>
      </c>
    </row>
    <row r="177" spans="2:16">
      <c r="B177" s="74" t="str">
        <f>IF(LEN(D177)&lt;10,CONCATENATE(LEFT(Inventario[[#This Row],[Área]],11),REPT(0,(10-LEN(D177))),D177),CONCATENATE(Inventario[Área],D177))</f>
        <v>1.2.8.13.0-0000000171</v>
      </c>
      <c r="C177" s="87"/>
      <c r="D177" s="76">
        <v>171</v>
      </c>
      <c r="E177" s="77">
        <v>1</v>
      </c>
      <c r="F177" s="77" t="s">
        <v>293</v>
      </c>
      <c r="G177" s="77" t="s">
        <v>158</v>
      </c>
      <c r="H177" s="77" t="s">
        <v>158</v>
      </c>
      <c r="I177" s="81" t="s">
        <v>158</v>
      </c>
      <c r="J177" s="78" t="s">
        <v>158</v>
      </c>
      <c r="K177" s="77" t="s">
        <v>158</v>
      </c>
      <c r="L177" s="77" t="s">
        <v>6</v>
      </c>
      <c r="M177" s="86" t="s">
        <v>158</v>
      </c>
      <c r="N177" s="77" t="s">
        <v>108</v>
      </c>
      <c r="O177" s="77" t="s">
        <v>318</v>
      </c>
      <c r="P177" s="77" t="s">
        <v>23</v>
      </c>
    </row>
    <row r="178" spans="2:16">
      <c r="B178" s="74" t="str">
        <f>IF(LEN(D178)&lt;10,CONCATENATE(LEFT(Inventario[[#This Row],[Área]],11),REPT(0,(10-LEN(D178))),D178),CONCATENATE(Inventario[Área],D178))</f>
        <v>1.2.8.13.0-0000000170</v>
      </c>
      <c r="C178" s="87"/>
      <c r="D178" s="76">
        <v>170</v>
      </c>
      <c r="E178" s="77">
        <v>1</v>
      </c>
      <c r="F178" s="77" t="s">
        <v>267</v>
      </c>
      <c r="G178" s="77" t="s">
        <v>158</v>
      </c>
      <c r="H178" s="77" t="s">
        <v>158</v>
      </c>
      <c r="I178" s="81" t="s">
        <v>158</v>
      </c>
      <c r="J178" s="78" t="s">
        <v>158</v>
      </c>
      <c r="K178" s="77" t="s">
        <v>158</v>
      </c>
      <c r="L178" s="77" t="s">
        <v>6</v>
      </c>
      <c r="M178" s="86" t="s">
        <v>158</v>
      </c>
      <c r="N178" s="77" t="s">
        <v>108</v>
      </c>
      <c r="O178" s="77" t="s">
        <v>318</v>
      </c>
      <c r="P178" s="77" t="s">
        <v>23</v>
      </c>
    </row>
    <row r="179" spans="2:16">
      <c r="B179" s="74" t="str">
        <f>IF(LEN(D179)&lt;10,CONCATENATE(LEFT(Inventario[[#This Row],[Área]],11),REPT(0,(10-LEN(D179))),D179),CONCATENATE(Inventario[Área],D179))</f>
        <v>1.2.8.13.0-0000000169</v>
      </c>
      <c r="C179" s="87"/>
      <c r="D179" s="76">
        <v>169</v>
      </c>
      <c r="E179" s="77">
        <v>1</v>
      </c>
      <c r="F179" s="77" t="s">
        <v>292</v>
      </c>
      <c r="G179" s="77" t="s">
        <v>158</v>
      </c>
      <c r="H179" s="77" t="s">
        <v>158</v>
      </c>
      <c r="I179" s="81" t="s">
        <v>158</v>
      </c>
      <c r="J179" s="78" t="s">
        <v>158</v>
      </c>
      <c r="K179" s="77" t="s">
        <v>158</v>
      </c>
      <c r="L179" s="77" t="s">
        <v>6</v>
      </c>
      <c r="M179" s="86" t="s">
        <v>158</v>
      </c>
      <c r="N179" s="77" t="s">
        <v>108</v>
      </c>
      <c r="O179" s="77" t="s">
        <v>318</v>
      </c>
      <c r="P179" s="77" t="s">
        <v>23</v>
      </c>
    </row>
    <row r="180" spans="2:16">
      <c r="B180" s="74" t="str">
        <f>IF(LEN(D180)&lt;10,CONCATENATE(LEFT(Inventario[[#This Row],[Área]],11),REPT(0,(10-LEN(D180))),D180),CONCATENATE(Inventario[Área],D180))</f>
        <v>1.2.8.13.0-0000000168</v>
      </c>
      <c r="C180" s="87"/>
      <c r="D180" s="76">
        <v>168</v>
      </c>
      <c r="E180" s="77">
        <v>1</v>
      </c>
      <c r="F180" s="77" t="s">
        <v>292</v>
      </c>
      <c r="G180" s="77" t="s">
        <v>158</v>
      </c>
      <c r="H180" s="77" t="s">
        <v>158</v>
      </c>
      <c r="I180" s="81" t="s">
        <v>158</v>
      </c>
      <c r="J180" s="78" t="s">
        <v>158</v>
      </c>
      <c r="K180" s="77" t="s">
        <v>158</v>
      </c>
      <c r="L180" s="77" t="s">
        <v>6</v>
      </c>
      <c r="M180" s="86" t="s">
        <v>158</v>
      </c>
      <c r="N180" s="77" t="s">
        <v>108</v>
      </c>
      <c r="O180" s="77" t="s">
        <v>318</v>
      </c>
      <c r="P180" s="77" t="s">
        <v>23</v>
      </c>
    </row>
    <row r="181" spans="2:16">
      <c r="B181" s="74" t="str">
        <f>IF(LEN(D181)&lt;10,CONCATENATE(LEFT(Inventario[[#This Row],[Área]],11),REPT(0,(10-LEN(D181))),D181),CONCATENATE(Inventario[Área],D181))</f>
        <v>1.2.8.13.0-0000000167</v>
      </c>
      <c r="C181" s="87"/>
      <c r="D181" s="76">
        <v>167</v>
      </c>
      <c r="E181" s="77">
        <v>1</v>
      </c>
      <c r="F181" s="77" t="s">
        <v>291</v>
      </c>
      <c r="G181" s="77" t="s">
        <v>158</v>
      </c>
      <c r="H181" s="77" t="s">
        <v>158</v>
      </c>
      <c r="I181" s="81" t="s">
        <v>158</v>
      </c>
      <c r="J181" s="78" t="s">
        <v>158</v>
      </c>
      <c r="K181" s="77" t="s">
        <v>158</v>
      </c>
      <c r="L181" s="77" t="s">
        <v>6</v>
      </c>
      <c r="M181" s="86" t="s">
        <v>158</v>
      </c>
      <c r="N181" s="77" t="s">
        <v>108</v>
      </c>
      <c r="O181" s="77" t="s">
        <v>318</v>
      </c>
      <c r="P181" s="77" t="s">
        <v>23</v>
      </c>
    </row>
    <row r="182" spans="2:16">
      <c r="B182" s="74" t="str">
        <f>IF(LEN(D182)&lt;10,CONCATENATE(LEFT(Inventario[[#This Row],[Área]],11),REPT(0,(10-LEN(D182))),D182),CONCATENATE(Inventario[Área],D182))</f>
        <v>1.2.8.13.0-0000000166</v>
      </c>
      <c r="C182" s="87"/>
      <c r="D182" s="76">
        <v>166</v>
      </c>
      <c r="E182" s="77">
        <v>1</v>
      </c>
      <c r="F182" s="77" t="s">
        <v>290</v>
      </c>
      <c r="G182" s="77" t="s">
        <v>158</v>
      </c>
      <c r="H182" s="77" t="s">
        <v>158</v>
      </c>
      <c r="I182" s="81" t="s">
        <v>158</v>
      </c>
      <c r="J182" s="78" t="s">
        <v>158</v>
      </c>
      <c r="K182" s="77" t="s">
        <v>158</v>
      </c>
      <c r="L182" s="77" t="s">
        <v>6</v>
      </c>
      <c r="M182" s="86" t="s">
        <v>158</v>
      </c>
      <c r="N182" s="77" t="s">
        <v>108</v>
      </c>
      <c r="O182" s="77" t="s">
        <v>318</v>
      </c>
      <c r="P182" s="77" t="s">
        <v>23</v>
      </c>
    </row>
    <row r="183" spans="2:16">
      <c r="B183" s="74" t="str">
        <f>IF(LEN(D183)&lt;10,CONCATENATE(LEFT(Inventario[[#This Row],[Área]],11),REPT(0,(10-LEN(D183))),D183),CONCATENATE(Inventario[Área],D183))</f>
        <v>1.2.8.13.0-0000000165</v>
      </c>
      <c r="C183" s="87"/>
      <c r="D183" s="76">
        <v>165</v>
      </c>
      <c r="E183" s="77">
        <v>1</v>
      </c>
      <c r="F183" s="77" t="s">
        <v>277</v>
      </c>
      <c r="G183" s="77" t="s">
        <v>158</v>
      </c>
      <c r="H183" s="77" t="s">
        <v>158</v>
      </c>
      <c r="I183" s="81" t="s">
        <v>158</v>
      </c>
      <c r="J183" s="78" t="s">
        <v>158</v>
      </c>
      <c r="K183" s="77" t="s">
        <v>158</v>
      </c>
      <c r="L183" s="77" t="s">
        <v>6</v>
      </c>
      <c r="M183" s="86" t="s">
        <v>158</v>
      </c>
      <c r="N183" s="77" t="s">
        <v>108</v>
      </c>
      <c r="O183" s="77" t="s">
        <v>318</v>
      </c>
      <c r="P183" s="77" t="s">
        <v>23</v>
      </c>
    </row>
    <row r="184" spans="2:16">
      <c r="B184" s="74" t="str">
        <f>IF(LEN(D184)&lt;10,CONCATENATE(LEFT(Inventario[[#This Row],[Área]],11),REPT(0,(10-LEN(D184))),D184),CONCATENATE(Inventario[Área],D184))</f>
        <v>1.2.8.13.0-0000000164</v>
      </c>
      <c r="C184" s="87"/>
      <c r="D184" s="76">
        <v>164</v>
      </c>
      <c r="E184" s="77">
        <v>1</v>
      </c>
      <c r="F184" s="77" t="s">
        <v>277</v>
      </c>
      <c r="G184" s="77" t="s">
        <v>158</v>
      </c>
      <c r="H184" s="77" t="s">
        <v>158</v>
      </c>
      <c r="I184" s="81" t="s">
        <v>158</v>
      </c>
      <c r="J184" s="78" t="s">
        <v>158</v>
      </c>
      <c r="K184" s="77" t="s">
        <v>158</v>
      </c>
      <c r="L184" s="77" t="s">
        <v>6</v>
      </c>
      <c r="M184" s="86" t="s">
        <v>158</v>
      </c>
      <c r="N184" s="77" t="s">
        <v>108</v>
      </c>
      <c r="O184" s="77" t="s">
        <v>318</v>
      </c>
      <c r="P184" s="77" t="s">
        <v>23</v>
      </c>
    </row>
    <row r="185" spans="2:16">
      <c r="B185" s="74" t="str">
        <f>IF(LEN(D185)&lt;10,CONCATENATE(LEFT(Inventario[[#This Row],[Área]],11),REPT(0,(10-LEN(D185))),D185),CONCATENATE(Inventario[Área],D185))</f>
        <v>1.2.8.13.0-0000000163</v>
      </c>
      <c r="C185" s="87"/>
      <c r="D185" s="76">
        <v>163</v>
      </c>
      <c r="E185" s="77">
        <v>1</v>
      </c>
      <c r="F185" s="77" t="s">
        <v>277</v>
      </c>
      <c r="G185" s="77" t="s">
        <v>158</v>
      </c>
      <c r="H185" s="77" t="s">
        <v>158</v>
      </c>
      <c r="I185" s="81" t="s">
        <v>158</v>
      </c>
      <c r="J185" s="78" t="s">
        <v>158</v>
      </c>
      <c r="K185" s="77" t="s">
        <v>158</v>
      </c>
      <c r="L185" s="77" t="s">
        <v>6</v>
      </c>
      <c r="M185" s="86" t="s">
        <v>158</v>
      </c>
      <c r="N185" s="77" t="s">
        <v>108</v>
      </c>
      <c r="O185" s="77" t="s">
        <v>318</v>
      </c>
      <c r="P185" s="77" t="s">
        <v>23</v>
      </c>
    </row>
    <row r="186" spans="2:16">
      <c r="B186" s="74" t="str">
        <f>IF(LEN(D186)&lt;10,CONCATENATE(LEFT(Inventario[[#This Row],[Área]],11),REPT(0,(10-LEN(D186))),D186),CONCATENATE(Inventario[Área],D186))</f>
        <v>1.2.8.13.0-0000000162</v>
      </c>
      <c r="C186" s="87"/>
      <c r="D186" s="76">
        <v>162</v>
      </c>
      <c r="E186" s="77">
        <v>1</v>
      </c>
      <c r="F186" s="77" t="s">
        <v>277</v>
      </c>
      <c r="G186" s="77" t="s">
        <v>158</v>
      </c>
      <c r="H186" s="77" t="s">
        <v>158</v>
      </c>
      <c r="I186" s="81" t="s">
        <v>158</v>
      </c>
      <c r="J186" s="78" t="s">
        <v>158</v>
      </c>
      <c r="K186" s="77" t="s">
        <v>158</v>
      </c>
      <c r="L186" s="77" t="s">
        <v>6</v>
      </c>
      <c r="M186" s="86" t="s">
        <v>158</v>
      </c>
      <c r="N186" s="77" t="s">
        <v>108</v>
      </c>
      <c r="O186" s="77" t="s">
        <v>318</v>
      </c>
      <c r="P186" s="77" t="s">
        <v>23</v>
      </c>
    </row>
    <row r="187" spans="2:16">
      <c r="B187" s="74" t="str">
        <f>IF(LEN(D187)&lt;10,CONCATENATE(LEFT(Inventario[[#This Row],[Área]],11),REPT(0,(10-LEN(D187))),D187),CONCATENATE(Inventario[Área],D187))</f>
        <v>1.2.8.13.0-0000000161</v>
      </c>
      <c r="C187" s="87"/>
      <c r="D187" s="76">
        <v>161</v>
      </c>
      <c r="E187" s="77">
        <v>1</v>
      </c>
      <c r="F187" s="77" t="s">
        <v>289</v>
      </c>
      <c r="G187" s="77" t="s">
        <v>158</v>
      </c>
      <c r="H187" s="77" t="s">
        <v>158</v>
      </c>
      <c r="I187" s="81" t="s">
        <v>158</v>
      </c>
      <c r="J187" s="78" t="s">
        <v>158</v>
      </c>
      <c r="K187" s="77" t="s">
        <v>158</v>
      </c>
      <c r="L187" s="77" t="s">
        <v>6</v>
      </c>
      <c r="M187" s="86" t="s">
        <v>158</v>
      </c>
      <c r="N187" s="77" t="s">
        <v>108</v>
      </c>
      <c r="O187" s="77" t="s">
        <v>318</v>
      </c>
      <c r="P187" s="77" t="s">
        <v>23</v>
      </c>
    </row>
    <row r="188" spans="2:16">
      <c r="B188" s="74" t="str">
        <f>IF(LEN(D188)&lt;10,CONCATENATE(LEFT(Inventario[[#This Row],[Área]],11),REPT(0,(10-LEN(D188))),D188),CONCATENATE(Inventario[Área],D188))</f>
        <v>1.2.8.13.0-0000000160</v>
      </c>
      <c r="C188" s="87"/>
      <c r="D188" s="76">
        <v>160</v>
      </c>
      <c r="E188" s="77">
        <v>1</v>
      </c>
      <c r="F188" s="77" t="s">
        <v>288</v>
      </c>
      <c r="G188" s="77" t="s">
        <v>158</v>
      </c>
      <c r="H188" s="77" t="s">
        <v>158</v>
      </c>
      <c r="I188" s="81" t="s">
        <v>158</v>
      </c>
      <c r="J188" s="78" t="s">
        <v>158</v>
      </c>
      <c r="K188" s="77" t="s">
        <v>158</v>
      </c>
      <c r="L188" s="77" t="s">
        <v>6</v>
      </c>
      <c r="M188" s="86" t="s">
        <v>158</v>
      </c>
      <c r="N188" s="77" t="s">
        <v>108</v>
      </c>
      <c r="O188" s="77" t="s">
        <v>318</v>
      </c>
      <c r="P188" s="77" t="s">
        <v>23</v>
      </c>
    </row>
    <row r="189" spans="2:16">
      <c r="B189" s="74" t="str">
        <f>IF(LEN(D189)&lt;10,CONCATENATE(LEFT(Inventario[[#This Row],[Área]],11),REPT(0,(10-LEN(D189))),D189),CONCATENATE(Inventario[Área],D189))</f>
        <v>1.2.8.13.0-0000000159</v>
      </c>
      <c r="C189" s="87"/>
      <c r="D189" s="76">
        <v>159</v>
      </c>
      <c r="E189" s="77">
        <v>1</v>
      </c>
      <c r="F189" s="77" t="s">
        <v>288</v>
      </c>
      <c r="G189" s="77" t="s">
        <v>158</v>
      </c>
      <c r="H189" s="77" t="s">
        <v>158</v>
      </c>
      <c r="I189" s="81" t="s">
        <v>158</v>
      </c>
      <c r="J189" s="78" t="s">
        <v>158</v>
      </c>
      <c r="K189" s="77" t="s">
        <v>158</v>
      </c>
      <c r="L189" s="77" t="s">
        <v>6</v>
      </c>
      <c r="M189" s="86" t="s">
        <v>158</v>
      </c>
      <c r="N189" s="77" t="s">
        <v>108</v>
      </c>
      <c r="O189" s="77" t="s">
        <v>318</v>
      </c>
      <c r="P189" s="77" t="s">
        <v>23</v>
      </c>
    </row>
    <row r="190" spans="2:16">
      <c r="B190" s="74" t="str">
        <f>IF(LEN(D190)&lt;10,CONCATENATE(LEFT(Inventario[[#This Row],[Área]],11),REPT(0,(10-LEN(D190))),D190),CONCATENATE(Inventario[Área],D190))</f>
        <v>1.2.8.13.0-0000000158</v>
      </c>
      <c r="C190" s="87"/>
      <c r="D190" s="76">
        <v>158</v>
      </c>
      <c r="E190" s="77">
        <v>1</v>
      </c>
      <c r="F190" s="77" t="s">
        <v>288</v>
      </c>
      <c r="G190" s="77" t="s">
        <v>158</v>
      </c>
      <c r="H190" s="77" t="s">
        <v>158</v>
      </c>
      <c r="I190" s="81" t="s">
        <v>158</v>
      </c>
      <c r="J190" s="78" t="s">
        <v>158</v>
      </c>
      <c r="K190" s="77" t="s">
        <v>158</v>
      </c>
      <c r="L190" s="77" t="s">
        <v>6</v>
      </c>
      <c r="M190" s="86" t="s">
        <v>158</v>
      </c>
      <c r="N190" s="77" t="s">
        <v>108</v>
      </c>
      <c r="O190" s="77" t="s">
        <v>318</v>
      </c>
      <c r="P190" s="77" t="s">
        <v>23</v>
      </c>
    </row>
    <row r="191" spans="2:16">
      <c r="B191" s="74" t="str">
        <f>IF(LEN(D191)&lt;10,CONCATENATE(LEFT(Inventario[[#This Row],[Área]],11),REPT(0,(10-LEN(D191))),D191),CONCATENATE(Inventario[Área],D191))</f>
        <v>1.2.8.13.0-0000000157</v>
      </c>
      <c r="C191" s="87"/>
      <c r="D191" s="76">
        <v>157</v>
      </c>
      <c r="E191" s="77">
        <v>1</v>
      </c>
      <c r="F191" s="77" t="s">
        <v>288</v>
      </c>
      <c r="G191" s="77" t="s">
        <v>158</v>
      </c>
      <c r="H191" s="77" t="s">
        <v>158</v>
      </c>
      <c r="I191" s="81" t="s">
        <v>158</v>
      </c>
      <c r="J191" s="78" t="s">
        <v>158</v>
      </c>
      <c r="K191" s="77" t="s">
        <v>158</v>
      </c>
      <c r="L191" s="77" t="s">
        <v>6</v>
      </c>
      <c r="M191" s="86" t="s">
        <v>158</v>
      </c>
      <c r="N191" s="77" t="s">
        <v>108</v>
      </c>
      <c r="O191" s="77" t="s">
        <v>318</v>
      </c>
      <c r="P191" s="77" t="s">
        <v>23</v>
      </c>
    </row>
    <row r="192" spans="2:16">
      <c r="B192" s="74" t="str">
        <f>IF(LEN(D192)&lt;10,CONCATENATE(LEFT(Inventario[[#This Row],[Área]],11),REPT(0,(10-LEN(D192))),D192),CONCATENATE(Inventario[Área],D192))</f>
        <v>1.2.8.13.0-0000000156</v>
      </c>
      <c r="C192" s="87"/>
      <c r="D192" s="76">
        <v>156</v>
      </c>
      <c r="E192" s="77">
        <v>1</v>
      </c>
      <c r="F192" s="77" t="s">
        <v>288</v>
      </c>
      <c r="G192" s="77" t="s">
        <v>158</v>
      </c>
      <c r="H192" s="77" t="s">
        <v>158</v>
      </c>
      <c r="I192" s="81" t="s">
        <v>158</v>
      </c>
      <c r="J192" s="78" t="s">
        <v>158</v>
      </c>
      <c r="K192" s="77" t="s">
        <v>158</v>
      </c>
      <c r="L192" s="77" t="s">
        <v>6</v>
      </c>
      <c r="M192" s="86" t="s">
        <v>158</v>
      </c>
      <c r="N192" s="77" t="s">
        <v>108</v>
      </c>
      <c r="O192" s="77" t="s">
        <v>318</v>
      </c>
      <c r="P192" s="77" t="s">
        <v>23</v>
      </c>
    </row>
    <row r="193" spans="2:16">
      <c r="B193" s="74" t="str">
        <f>IF(LEN(D193)&lt;10,CONCATENATE(LEFT(Inventario[[#This Row],[Área]],11),REPT(0,(10-LEN(D193))),D193),CONCATENATE(Inventario[Área],D193))</f>
        <v>1.2.8.13.0-0000000155</v>
      </c>
      <c r="C193" s="87"/>
      <c r="D193" s="76">
        <v>155</v>
      </c>
      <c r="E193" s="77">
        <v>1</v>
      </c>
      <c r="F193" s="77" t="s">
        <v>286</v>
      </c>
      <c r="G193" s="77" t="s">
        <v>158</v>
      </c>
      <c r="H193" s="77" t="s">
        <v>158</v>
      </c>
      <c r="I193" s="81" t="s">
        <v>158</v>
      </c>
      <c r="J193" s="78" t="s">
        <v>158</v>
      </c>
      <c r="K193" s="77" t="s">
        <v>158</v>
      </c>
      <c r="L193" s="77" t="s">
        <v>6</v>
      </c>
      <c r="M193" s="86" t="s">
        <v>158</v>
      </c>
      <c r="N193" s="77" t="s">
        <v>108</v>
      </c>
      <c r="O193" s="77" t="s">
        <v>318</v>
      </c>
      <c r="P193" s="77" t="s">
        <v>23</v>
      </c>
    </row>
    <row r="194" spans="2:16">
      <c r="B194" s="74" t="str">
        <f>IF(LEN(D194)&lt;10,CONCATENATE(LEFT(Inventario[[#This Row],[Área]],11),REPT(0,(10-LEN(D194))),D194),CONCATENATE(Inventario[Área],D194))</f>
        <v>1.2.8.13.0-0000000154</v>
      </c>
      <c r="C194" s="87"/>
      <c r="D194" s="76">
        <v>154</v>
      </c>
      <c r="E194" s="77">
        <v>1</v>
      </c>
      <c r="F194" s="77" t="s">
        <v>285</v>
      </c>
      <c r="G194" s="77" t="s">
        <v>158</v>
      </c>
      <c r="H194" s="77" t="s">
        <v>158</v>
      </c>
      <c r="I194" s="81" t="s">
        <v>158</v>
      </c>
      <c r="J194" s="78" t="s">
        <v>158</v>
      </c>
      <c r="K194" s="77" t="s">
        <v>158</v>
      </c>
      <c r="L194" s="77" t="s">
        <v>6</v>
      </c>
      <c r="M194" s="86" t="s">
        <v>158</v>
      </c>
      <c r="N194" s="77" t="s">
        <v>108</v>
      </c>
      <c r="O194" s="77" t="s">
        <v>318</v>
      </c>
      <c r="P194" s="77" t="s">
        <v>23</v>
      </c>
    </row>
    <row r="195" spans="2:16">
      <c r="B195" s="74" t="str">
        <f>IF(LEN(D195)&lt;10,CONCATENATE(LEFT(Inventario[[#This Row],[Área]],11),REPT(0,(10-LEN(D195))),D195),CONCATENATE(Inventario[Área],D195))</f>
        <v>1.2.8.13.0-0000000153</v>
      </c>
      <c r="C195" s="87"/>
      <c r="D195" s="76">
        <v>153</v>
      </c>
      <c r="E195" s="77">
        <v>1</v>
      </c>
      <c r="F195" s="77" t="s">
        <v>281</v>
      </c>
      <c r="G195" s="77" t="s">
        <v>282</v>
      </c>
      <c r="H195" s="77" t="s">
        <v>283</v>
      </c>
      <c r="I195" s="81" t="s">
        <v>284</v>
      </c>
      <c r="J195" s="78" t="s">
        <v>158</v>
      </c>
      <c r="K195" s="77" t="s">
        <v>158</v>
      </c>
      <c r="L195" s="77" t="s">
        <v>6</v>
      </c>
      <c r="M195" s="86" t="s">
        <v>158</v>
      </c>
      <c r="N195" s="77" t="s">
        <v>108</v>
      </c>
      <c r="O195" s="77" t="s">
        <v>318</v>
      </c>
      <c r="P195" s="77" t="s">
        <v>23</v>
      </c>
    </row>
    <row r="196" spans="2:16">
      <c r="B196" s="74" t="str">
        <f>IF(LEN(D196)&lt;10,CONCATENATE(LEFT(Inventario[[#This Row],[Área]],11),REPT(0,(10-LEN(D196))),D196),CONCATENATE(Inventario[Área],D196))</f>
        <v>1.2.8.13.0-0000000152</v>
      </c>
      <c r="C196" s="87"/>
      <c r="D196" s="76">
        <v>152</v>
      </c>
      <c r="E196" s="77">
        <v>1</v>
      </c>
      <c r="F196" s="77" t="s">
        <v>280</v>
      </c>
      <c r="G196" s="77" t="s">
        <v>158</v>
      </c>
      <c r="H196" s="77" t="s">
        <v>158</v>
      </c>
      <c r="I196" s="81" t="s">
        <v>158</v>
      </c>
      <c r="J196" s="78" t="s">
        <v>158</v>
      </c>
      <c r="K196" s="77" t="s">
        <v>158</v>
      </c>
      <c r="L196" s="77" t="s">
        <v>6</v>
      </c>
      <c r="M196" s="86" t="s">
        <v>158</v>
      </c>
      <c r="N196" s="77" t="s">
        <v>108</v>
      </c>
      <c r="O196" s="77" t="s">
        <v>318</v>
      </c>
      <c r="P196" s="77" t="s">
        <v>23</v>
      </c>
    </row>
    <row r="197" spans="2:16">
      <c r="B197" s="74" t="str">
        <f>IF(LEN(D197)&lt;10,CONCATENATE(LEFT(Inventario[[#This Row],[Área]],11),REPT(0,(10-LEN(D197))),D197),CONCATENATE(Inventario[Área],D197))</f>
        <v>1.2.8.13.0-0000000151</v>
      </c>
      <c r="C197" s="87"/>
      <c r="D197" s="76">
        <v>151</v>
      </c>
      <c r="E197" s="77">
        <v>1</v>
      </c>
      <c r="F197" s="77" t="s">
        <v>279</v>
      </c>
      <c r="G197" s="77" t="s">
        <v>158</v>
      </c>
      <c r="H197" s="77" t="s">
        <v>158</v>
      </c>
      <c r="I197" s="81" t="s">
        <v>158</v>
      </c>
      <c r="J197" s="78" t="s">
        <v>158</v>
      </c>
      <c r="K197" s="77" t="s">
        <v>158</v>
      </c>
      <c r="L197" s="77" t="s">
        <v>6</v>
      </c>
      <c r="M197" s="86" t="s">
        <v>158</v>
      </c>
      <c r="N197" s="77" t="s">
        <v>108</v>
      </c>
      <c r="O197" s="77" t="s">
        <v>318</v>
      </c>
      <c r="P197" s="77" t="s">
        <v>23</v>
      </c>
    </row>
    <row r="198" spans="2:16">
      <c r="B198" s="74" t="str">
        <f>IF(LEN(D198)&lt;10,CONCATENATE(LEFT(Inventario[[#This Row],[Área]],11),REPT(0,(10-LEN(D198))),D198),CONCATENATE(Inventario[Área],D198))</f>
        <v>1.2.8.13.0-0000000150</v>
      </c>
      <c r="C198" s="87"/>
      <c r="D198" s="76">
        <v>150</v>
      </c>
      <c r="E198" s="77">
        <v>1</v>
      </c>
      <c r="F198" s="77" t="s">
        <v>279</v>
      </c>
      <c r="G198" s="77" t="s">
        <v>158</v>
      </c>
      <c r="H198" s="77" t="s">
        <v>158</v>
      </c>
      <c r="I198" s="81" t="s">
        <v>158</v>
      </c>
      <c r="J198" s="78" t="s">
        <v>158</v>
      </c>
      <c r="K198" s="77" t="s">
        <v>158</v>
      </c>
      <c r="L198" s="77" t="s">
        <v>6</v>
      </c>
      <c r="M198" s="86" t="s">
        <v>158</v>
      </c>
      <c r="N198" s="77" t="s">
        <v>108</v>
      </c>
      <c r="O198" s="77" t="s">
        <v>318</v>
      </c>
      <c r="P198" s="77" t="s">
        <v>23</v>
      </c>
    </row>
    <row r="199" spans="2:16">
      <c r="B199" s="74" t="str">
        <f>IF(LEN(D199)&lt;10,CONCATENATE(LEFT(Inventario[[#This Row],[Área]],11),REPT(0,(10-LEN(D199))),D199),CONCATENATE(Inventario[Área],D199))</f>
        <v>1.2.8.13.0-0000000149</v>
      </c>
      <c r="C199" s="87"/>
      <c r="D199" s="76">
        <v>149</v>
      </c>
      <c r="E199" s="77">
        <v>1</v>
      </c>
      <c r="F199" s="77" t="s">
        <v>279</v>
      </c>
      <c r="G199" s="77" t="s">
        <v>158</v>
      </c>
      <c r="H199" s="77" t="s">
        <v>158</v>
      </c>
      <c r="I199" s="81" t="s">
        <v>158</v>
      </c>
      <c r="J199" s="78" t="s">
        <v>158</v>
      </c>
      <c r="K199" s="77" t="s">
        <v>158</v>
      </c>
      <c r="L199" s="77" t="s">
        <v>6</v>
      </c>
      <c r="M199" s="86" t="s">
        <v>158</v>
      </c>
      <c r="N199" s="77" t="s">
        <v>108</v>
      </c>
      <c r="O199" s="77" t="s">
        <v>318</v>
      </c>
      <c r="P199" s="77" t="s">
        <v>23</v>
      </c>
    </row>
    <row r="200" spans="2:16">
      <c r="B200" s="74" t="str">
        <f>IF(LEN(D200)&lt;10,CONCATENATE(LEFT(Inventario[[#This Row],[Área]],11),REPT(0,(10-LEN(D200))),D200),CONCATENATE(Inventario[Área],D200))</f>
        <v>1.2.8.13.0-0000000148</v>
      </c>
      <c r="C200" s="87"/>
      <c r="D200" s="76">
        <v>148</v>
      </c>
      <c r="E200" s="77">
        <v>1</v>
      </c>
      <c r="F200" s="77" t="s">
        <v>279</v>
      </c>
      <c r="G200" s="77" t="s">
        <v>158</v>
      </c>
      <c r="H200" s="77" t="s">
        <v>158</v>
      </c>
      <c r="I200" s="81" t="s">
        <v>158</v>
      </c>
      <c r="J200" s="78" t="s">
        <v>158</v>
      </c>
      <c r="K200" s="77" t="s">
        <v>158</v>
      </c>
      <c r="L200" s="77" t="s">
        <v>6</v>
      </c>
      <c r="M200" s="86" t="s">
        <v>158</v>
      </c>
      <c r="N200" s="77" t="s">
        <v>108</v>
      </c>
      <c r="O200" s="77" t="s">
        <v>318</v>
      </c>
      <c r="P200" s="77" t="s">
        <v>23</v>
      </c>
    </row>
    <row r="201" spans="2:16">
      <c r="B201" s="74" t="str">
        <f>IF(LEN(D201)&lt;10,CONCATENATE(LEFT(Inventario[[#This Row],[Área]],11),REPT(0,(10-LEN(D201))),D201),CONCATENATE(Inventario[Área],D201))</f>
        <v>1.2.8.13.0-0000000147</v>
      </c>
      <c r="C201" s="87"/>
      <c r="D201" s="76">
        <v>147</v>
      </c>
      <c r="E201" s="77">
        <v>1</v>
      </c>
      <c r="F201" s="77" t="s">
        <v>279</v>
      </c>
      <c r="G201" s="77" t="s">
        <v>158</v>
      </c>
      <c r="H201" s="77" t="s">
        <v>158</v>
      </c>
      <c r="I201" s="81" t="s">
        <v>158</v>
      </c>
      <c r="J201" s="78" t="s">
        <v>158</v>
      </c>
      <c r="K201" s="77" t="s">
        <v>158</v>
      </c>
      <c r="L201" s="77" t="s">
        <v>6</v>
      </c>
      <c r="M201" s="86" t="s">
        <v>158</v>
      </c>
      <c r="N201" s="77" t="s">
        <v>108</v>
      </c>
      <c r="O201" s="77" t="s">
        <v>318</v>
      </c>
      <c r="P201" s="77" t="s">
        <v>23</v>
      </c>
    </row>
    <row r="202" spans="2:16">
      <c r="B202" s="74" t="str">
        <f>IF(LEN(D202)&lt;10,CONCATENATE(LEFT(Inventario[[#This Row],[Área]],11),REPT(0,(10-LEN(D202))),D202),CONCATENATE(Inventario[Área],D202))</f>
        <v>1.2.8.13.0-0000000146</v>
      </c>
      <c r="C202" s="87"/>
      <c r="D202" s="76">
        <v>146</v>
      </c>
      <c r="E202" s="77">
        <v>1</v>
      </c>
      <c r="F202" s="77" t="s">
        <v>279</v>
      </c>
      <c r="G202" s="77" t="s">
        <v>158</v>
      </c>
      <c r="H202" s="77" t="s">
        <v>158</v>
      </c>
      <c r="I202" s="81" t="s">
        <v>158</v>
      </c>
      <c r="J202" s="78" t="s">
        <v>158</v>
      </c>
      <c r="K202" s="77" t="s">
        <v>158</v>
      </c>
      <c r="L202" s="77" t="s">
        <v>6</v>
      </c>
      <c r="M202" s="86" t="s">
        <v>158</v>
      </c>
      <c r="N202" s="77" t="s">
        <v>108</v>
      </c>
      <c r="O202" s="77" t="s">
        <v>318</v>
      </c>
      <c r="P202" s="77" t="s">
        <v>23</v>
      </c>
    </row>
    <row r="203" spans="2:16">
      <c r="B203" s="74" t="str">
        <f>IF(LEN(D203)&lt;10,CONCATENATE(LEFT(Inventario[[#This Row],[Área]],11),REPT(0,(10-LEN(D203))),D203),CONCATENATE(Inventario[Área],D203))</f>
        <v>1.2.8.13.0-0000000145</v>
      </c>
      <c r="C203" s="87"/>
      <c r="D203" s="76">
        <v>145</v>
      </c>
      <c r="E203" s="77">
        <v>1</v>
      </c>
      <c r="F203" s="77" t="s">
        <v>279</v>
      </c>
      <c r="G203" s="77" t="s">
        <v>158</v>
      </c>
      <c r="H203" s="77" t="s">
        <v>158</v>
      </c>
      <c r="I203" s="81" t="s">
        <v>158</v>
      </c>
      <c r="J203" s="78" t="s">
        <v>158</v>
      </c>
      <c r="K203" s="77" t="s">
        <v>158</v>
      </c>
      <c r="L203" s="77" t="s">
        <v>6</v>
      </c>
      <c r="M203" s="86" t="s">
        <v>158</v>
      </c>
      <c r="N203" s="77" t="s">
        <v>108</v>
      </c>
      <c r="O203" s="77" t="s">
        <v>318</v>
      </c>
      <c r="P203" s="77" t="s">
        <v>23</v>
      </c>
    </row>
    <row r="204" spans="2:16">
      <c r="B204" s="74" t="str">
        <f>IF(LEN(D204)&lt;10,CONCATENATE(LEFT(Inventario[[#This Row],[Área]],11),REPT(0,(10-LEN(D204))),D204),CONCATENATE(Inventario[Área],D204))</f>
        <v>1.2.8.13.0-0000000144</v>
      </c>
      <c r="C204" s="87"/>
      <c r="D204" s="76">
        <v>144</v>
      </c>
      <c r="E204" s="77">
        <v>1</v>
      </c>
      <c r="F204" s="77" t="s">
        <v>279</v>
      </c>
      <c r="G204" s="77" t="s">
        <v>158</v>
      </c>
      <c r="H204" s="77" t="s">
        <v>158</v>
      </c>
      <c r="I204" s="81" t="s">
        <v>158</v>
      </c>
      <c r="J204" s="78" t="s">
        <v>158</v>
      </c>
      <c r="K204" s="77" t="s">
        <v>158</v>
      </c>
      <c r="L204" s="77" t="s">
        <v>6</v>
      </c>
      <c r="M204" s="86" t="s">
        <v>158</v>
      </c>
      <c r="N204" s="77" t="s">
        <v>108</v>
      </c>
      <c r="O204" s="77" t="s">
        <v>318</v>
      </c>
      <c r="P204" s="77" t="s">
        <v>23</v>
      </c>
    </row>
    <row r="205" spans="2:16">
      <c r="B205" s="74" t="str">
        <f>IF(LEN(D205)&lt;10,CONCATENATE(LEFT(Inventario[[#This Row],[Área]],11),REPT(0,(10-LEN(D205))),D205),CONCATENATE(Inventario[Área],D205))</f>
        <v>1.2.8.13.0-0000000143</v>
      </c>
      <c r="C205" s="87"/>
      <c r="D205" s="76">
        <v>143</v>
      </c>
      <c r="E205" s="77">
        <v>1</v>
      </c>
      <c r="F205" s="77" t="s">
        <v>278</v>
      </c>
      <c r="G205" s="77" t="s">
        <v>158</v>
      </c>
      <c r="H205" s="77" t="s">
        <v>158</v>
      </c>
      <c r="I205" s="81" t="s">
        <v>158</v>
      </c>
      <c r="J205" s="78" t="s">
        <v>158</v>
      </c>
      <c r="K205" s="77" t="s">
        <v>158</v>
      </c>
      <c r="L205" s="77" t="s">
        <v>6</v>
      </c>
      <c r="M205" s="86" t="s">
        <v>158</v>
      </c>
      <c r="N205" s="77" t="s">
        <v>108</v>
      </c>
      <c r="O205" s="77" t="s">
        <v>318</v>
      </c>
      <c r="P205" s="77" t="s">
        <v>23</v>
      </c>
    </row>
    <row r="206" spans="2:16">
      <c r="B206" s="74" t="str">
        <f>IF(LEN(D206)&lt;10,CONCATENATE(LEFT(Inventario[[#This Row],[Área]],11),REPT(0,(10-LEN(D206))),D206),CONCATENATE(Inventario[Área],D206))</f>
        <v>1.2.8.13.0-0000000142</v>
      </c>
      <c r="C206" s="87"/>
      <c r="D206" s="76">
        <v>142</v>
      </c>
      <c r="E206" s="77">
        <v>1</v>
      </c>
      <c r="F206" s="77" t="s">
        <v>278</v>
      </c>
      <c r="G206" s="77" t="s">
        <v>158</v>
      </c>
      <c r="H206" s="77" t="s">
        <v>158</v>
      </c>
      <c r="I206" s="81" t="s">
        <v>158</v>
      </c>
      <c r="J206" s="78" t="s">
        <v>158</v>
      </c>
      <c r="K206" s="77" t="s">
        <v>158</v>
      </c>
      <c r="L206" s="77" t="s">
        <v>6</v>
      </c>
      <c r="M206" s="86" t="s">
        <v>158</v>
      </c>
      <c r="N206" s="77" t="s">
        <v>108</v>
      </c>
      <c r="O206" s="77" t="s">
        <v>318</v>
      </c>
      <c r="P206" s="77" t="s">
        <v>23</v>
      </c>
    </row>
    <row r="207" spans="2:16">
      <c r="B207" s="74" t="str">
        <f>IF(LEN(D207)&lt;10,CONCATENATE(LEFT(Inventario[[#This Row],[Área]],11),REPT(0,(10-LEN(D207))),D207),CONCATENATE(Inventario[Área],D207))</f>
        <v>1.2.8.13.0-0000000141</v>
      </c>
      <c r="C207" s="87"/>
      <c r="D207" s="76">
        <v>141</v>
      </c>
      <c r="E207" s="77">
        <v>1</v>
      </c>
      <c r="F207" s="77" t="s">
        <v>278</v>
      </c>
      <c r="G207" s="77" t="s">
        <v>158</v>
      </c>
      <c r="H207" s="77" t="s">
        <v>158</v>
      </c>
      <c r="I207" s="81" t="s">
        <v>158</v>
      </c>
      <c r="J207" s="78" t="s">
        <v>158</v>
      </c>
      <c r="K207" s="77" t="s">
        <v>158</v>
      </c>
      <c r="L207" s="77" t="s">
        <v>6</v>
      </c>
      <c r="M207" s="86" t="s">
        <v>158</v>
      </c>
      <c r="N207" s="77" t="s">
        <v>108</v>
      </c>
      <c r="O207" s="77" t="s">
        <v>318</v>
      </c>
      <c r="P207" s="77" t="s">
        <v>23</v>
      </c>
    </row>
    <row r="208" spans="2:16">
      <c r="B208" s="74" t="str">
        <f>IF(LEN(D208)&lt;10,CONCATENATE(LEFT(Inventario[[#This Row],[Área]],11),REPT(0,(10-LEN(D208))),D208),CONCATENATE(Inventario[Área],D208))</f>
        <v>1.2.8.13.0-0000000140</v>
      </c>
      <c r="C208" s="87"/>
      <c r="D208" s="76">
        <v>140</v>
      </c>
      <c r="E208" s="77">
        <v>1</v>
      </c>
      <c r="F208" s="77" t="s">
        <v>278</v>
      </c>
      <c r="G208" s="77" t="s">
        <v>158</v>
      </c>
      <c r="H208" s="77" t="s">
        <v>158</v>
      </c>
      <c r="I208" s="81" t="s">
        <v>158</v>
      </c>
      <c r="J208" s="78" t="s">
        <v>158</v>
      </c>
      <c r="K208" s="77" t="s">
        <v>158</v>
      </c>
      <c r="L208" s="77" t="s">
        <v>6</v>
      </c>
      <c r="M208" s="86" t="s">
        <v>158</v>
      </c>
      <c r="N208" s="77" t="s">
        <v>108</v>
      </c>
      <c r="O208" s="77" t="s">
        <v>318</v>
      </c>
      <c r="P208" s="77" t="s">
        <v>23</v>
      </c>
    </row>
    <row r="209" spans="2:16">
      <c r="B209" s="74" t="str">
        <f>IF(LEN(D209)&lt;10,CONCATENATE(LEFT(Inventario[[#This Row],[Área]],11),REPT(0,(10-LEN(D209))),D209),CONCATENATE(Inventario[Área],D209))</f>
        <v>1.2.8.13.0-0000000139</v>
      </c>
      <c r="C209" s="87"/>
      <c r="D209" s="76">
        <v>139</v>
      </c>
      <c r="E209" s="77">
        <v>1</v>
      </c>
      <c r="F209" s="77" t="s">
        <v>277</v>
      </c>
      <c r="G209" s="77" t="s">
        <v>158</v>
      </c>
      <c r="H209" s="77" t="s">
        <v>158</v>
      </c>
      <c r="I209" s="81" t="s">
        <v>158</v>
      </c>
      <c r="J209" s="78" t="s">
        <v>158</v>
      </c>
      <c r="K209" s="77" t="s">
        <v>158</v>
      </c>
      <c r="L209" s="77" t="s">
        <v>6</v>
      </c>
      <c r="M209" s="86" t="s">
        <v>158</v>
      </c>
      <c r="N209" s="77" t="s">
        <v>108</v>
      </c>
      <c r="O209" s="77" t="s">
        <v>318</v>
      </c>
      <c r="P209" s="77" t="s">
        <v>23</v>
      </c>
    </row>
    <row r="210" spans="2:16">
      <c r="B210" s="74" t="str">
        <f>IF(LEN(D210)&lt;10,CONCATENATE(LEFT(Inventario[[#This Row],[Área]],11),REPT(0,(10-LEN(D210))),D210),CONCATENATE(Inventario[Área],D210))</f>
        <v>1.2.8.13.0-0000000138</v>
      </c>
      <c r="C210" s="87"/>
      <c r="D210" s="76">
        <v>138</v>
      </c>
      <c r="E210" s="77">
        <v>1</v>
      </c>
      <c r="F210" s="77" t="s">
        <v>277</v>
      </c>
      <c r="G210" s="77" t="s">
        <v>158</v>
      </c>
      <c r="H210" s="77" t="s">
        <v>158</v>
      </c>
      <c r="I210" s="81" t="s">
        <v>158</v>
      </c>
      <c r="J210" s="78" t="s">
        <v>158</v>
      </c>
      <c r="K210" s="77" t="s">
        <v>158</v>
      </c>
      <c r="L210" s="77" t="s">
        <v>6</v>
      </c>
      <c r="M210" s="86" t="s">
        <v>158</v>
      </c>
      <c r="N210" s="77" t="s">
        <v>108</v>
      </c>
      <c r="O210" s="77" t="s">
        <v>318</v>
      </c>
      <c r="P210" s="77" t="s">
        <v>23</v>
      </c>
    </row>
    <row r="211" spans="2:16">
      <c r="B211" s="74" t="str">
        <f>IF(LEN(D211)&lt;10,CONCATENATE(LEFT(Inventario[[#This Row],[Área]],11),REPT(0,(10-LEN(D211))),D211),CONCATENATE(Inventario[Área],D211))</f>
        <v>1.2.8.13.0-0000000137</v>
      </c>
      <c r="C211" s="87"/>
      <c r="D211" s="76">
        <v>137</v>
      </c>
      <c r="E211" s="77">
        <v>1</v>
      </c>
      <c r="F211" s="77" t="s">
        <v>277</v>
      </c>
      <c r="G211" s="77" t="s">
        <v>158</v>
      </c>
      <c r="H211" s="77" t="s">
        <v>158</v>
      </c>
      <c r="I211" s="81" t="s">
        <v>158</v>
      </c>
      <c r="J211" s="78" t="s">
        <v>158</v>
      </c>
      <c r="K211" s="77" t="s">
        <v>158</v>
      </c>
      <c r="L211" s="77" t="s">
        <v>6</v>
      </c>
      <c r="M211" s="86" t="s">
        <v>158</v>
      </c>
      <c r="N211" s="77" t="s">
        <v>108</v>
      </c>
      <c r="O211" s="77" t="s">
        <v>318</v>
      </c>
      <c r="P211" s="77" t="s">
        <v>23</v>
      </c>
    </row>
    <row r="212" spans="2:16">
      <c r="B212" s="74" t="str">
        <f>IF(LEN(D212)&lt;10,CONCATENATE(LEFT(Inventario[[#This Row],[Área]],11),REPT(0,(10-LEN(D212))),D212),CONCATENATE(Inventario[Área],D212))</f>
        <v>1.2.8.13.0-0000000136</v>
      </c>
      <c r="C212" s="87"/>
      <c r="D212" s="76">
        <v>136</v>
      </c>
      <c r="E212" s="77">
        <v>1</v>
      </c>
      <c r="F212" s="77" t="s">
        <v>277</v>
      </c>
      <c r="G212" s="77" t="s">
        <v>158</v>
      </c>
      <c r="H212" s="77" t="s">
        <v>158</v>
      </c>
      <c r="I212" s="81" t="s">
        <v>158</v>
      </c>
      <c r="J212" s="78" t="s">
        <v>158</v>
      </c>
      <c r="K212" s="77" t="s">
        <v>158</v>
      </c>
      <c r="L212" s="77" t="s">
        <v>6</v>
      </c>
      <c r="M212" s="86" t="s">
        <v>158</v>
      </c>
      <c r="N212" s="77" t="s">
        <v>108</v>
      </c>
      <c r="O212" s="77" t="s">
        <v>318</v>
      </c>
      <c r="P212" s="77" t="s">
        <v>23</v>
      </c>
    </row>
    <row r="213" spans="2:16">
      <c r="B213" s="74" t="str">
        <f>IF(LEN(D213)&lt;10,CONCATENATE(LEFT(Inventario[[#This Row],[Área]],11),REPT(0,(10-LEN(D213))),D213),CONCATENATE(Inventario[Área],D213))</f>
        <v>1.2.8.13.0-0000000135</v>
      </c>
      <c r="C213" s="87"/>
      <c r="D213" s="76">
        <v>135</v>
      </c>
      <c r="E213" s="77">
        <v>1</v>
      </c>
      <c r="F213" s="77" t="s">
        <v>273</v>
      </c>
      <c r="G213" s="77" t="s">
        <v>158</v>
      </c>
      <c r="H213" s="77" t="s">
        <v>158</v>
      </c>
      <c r="I213" s="81" t="s">
        <v>158</v>
      </c>
      <c r="J213" s="78" t="s">
        <v>158</v>
      </c>
      <c r="K213" s="77" t="s">
        <v>158</v>
      </c>
      <c r="L213" s="77" t="s">
        <v>6</v>
      </c>
      <c r="M213" s="86" t="s">
        <v>158</v>
      </c>
      <c r="N213" s="77" t="s">
        <v>108</v>
      </c>
      <c r="O213" s="77" t="s">
        <v>318</v>
      </c>
      <c r="P213" s="77" t="s">
        <v>23</v>
      </c>
    </row>
    <row r="214" spans="2:16">
      <c r="B214" s="74" t="str">
        <f>IF(LEN(D214)&lt;10,CONCATENATE(LEFT(Inventario[[#This Row],[Área]],11),REPT(0,(10-LEN(D214))),D214),CONCATENATE(Inventario[Área],D214))</f>
        <v>1.2.8.13.0-0000000134</v>
      </c>
      <c r="C214" s="87"/>
      <c r="D214" s="76">
        <v>134</v>
      </c>
      <c r="E214" s="77">
        <v>1</v>
      </c>
      <c r="F214" s="77" t="s">
        <v>273</v>
      </c>
      <c r="G214" s="77" t="s">
        <v>158</v>
      </c>
      <c r="H214" s="77" t="s">
        <v>158</v>
      </c>
      <c r="I214" s="81" t="s">
        <v>158</v>
      </c>
      <c r="J214" s="78" t="s">
        <v>158</v>
      </c>
      <c r="K214" s="77" t="s">
        <v>158</v>
      </c>
      <c r="L214" s="77" t="s">
        <v>6</v>
      </c>
      <c r="M214" s="86" t="s">
        <v>158</v>
      </c>
      <c r="N214" s="77" t="s">
        <v>108</v>
      </c>
      <c r="O214" s="77" t="s">
        <v>318</v>
      </c>
      <c r="P214" s="77" t="s">
        <v>23</v>
      </c>
    </row>
    <row r="215" spans="2:16">
      <c r="B215" s="74" t="str">
        <f>IF(LEN(D215)&lt;10,CONCATENATE(LEFT(Inventario[[#This Row],[Área]],11),REPT(0,(10-LEN(D215))),D215),CONCATENATE(Inventario[Área],D215))</f>
        <v>1.2.8.13.0-0000000133</v>
      </c>
      <c r="C215" s="87"/>
      <c r="D215" s="76">
        <v>133</v>
      </c>
      <c r="E215" s="77">
        <v>1</v>
      </c>
      <c r="F215" s="77" t="s">
        <v>273</v>
      </c>
      <c r="G215" s="77" t="s">
        <v>158</v>
      </c>
      <c r="H215" s="77" t="s">
        <v>158</v>
      </c>
      <c r="I215" s="81" t="s">
        <v>158</v>
      </c>
      <c r="J215" s="78" t="s">
        <v>158</v>
      </c>
      <c r="K215" s="77" t="s">
        <v>158</v>
      </c>
      <c r="L215" s="77" t="s">
        <v>6</v>
      </c>
      <c r="M215" s="86" t="s">
        <v>158</v>
      </c>
      <c r="N215" s="77" t="s">
        <v>108</v>
      </c>
      <c r="O215" s="77" t="s">
        <v>318</v>
      </c>
      <c r="P215" s="77" t="s">
        <v>23</v>
      </c>
    </row>
    <row r="216" spans="2:16">
      <c r="B216" s="74" t="str">
        <f>IF(LEN(D216)&lt;10,CONCATENATE(LEFT(Inventario[[#This Row],[Área]],11),REPT(0,(10-LEN(D216))),D216),CONCATENATE(Inventario[Área],D216))</f>
        <v>1.2.8.13.0-0000000132</v>
      </c>
      <c r="C216" s="87"/>
      <c r="D216" s="76">
        <v>132</v>
      </c>
      <c r="E216" s="77">
        <v>1</v>
      </c>
      <c r="F216" s="77" t="s">
        <v>273</v>
      </c>
      <c r="G216" s="77" t="s">
        <v>158</v>
      </c>
      <c r="H216" s="77" t="s">
        <v>158</v>
      </c>
      <c r="I216" s="81" t="s">
        <v>158</v>
      </c>
      <c r="J216" s="78" t="s">
        <v>158</v>
      </c>
      <c r="K216" s="77" t="s">
        <v>158</v>
      </c>
      <c r="L216" s="77" t="s">
        <v>6</v>
      </c>
      <c r="M216" s="86" t="s">
        <v>158</v>
      </c>
      <c r="N216" s="77" t="s">
        <v>108</v>
      </c>
      <c r="O216" s="77" t="s">
        <v>318</v>
      </c>
      <c r="P216" s="77" t="s">
        <v>23</v>
      </c>
    </row>
    <row r="217" spans="2:16">
      <c r="B217" s="74" t="str">
        <f>IF(LEN(D217)&lt;10,CONCATENATE(LEFT(Inventario[[#This Row],[Área]],11),REPT(0,(10-LEN(D217))),D217),CONCATENATE(Inventario[Área],D217))</f>
        <v>1.2.8.13.0-0000000131</v>
      </c>
      <c r="C217" s="87"/>
      <c r="D217" s="76">
        <v>131</v>
      </c>
      <c r="E217" s="77">
        <v>1</v>
      </c>
      <c r="F217" s="77" t="s">
        <v>273</v>
      </c>
      <c r="G217" s="77" t="s">
        <v>158</v>
      </c>
      <c r="H217" s="77" t="s">
        <v>158</v>
      </c>
      <c r="I217" s="81" t="s">
        <v>158</v>
      </c>
      <c r="J217" s="78" t="s">
        <v>158</v>
      </c>
      <c r="K217" s="77" t="s">
        <v>158</v>
      </c>
      <c r="L217" s="77" t="s">
        <v>6</v>
      </c>
      <c r="M217" s="86" t="s">
        <v>158</v>
      </c>
      <c r="N217" s="77" t="s">
        <v>108</v>
      </c>
      <c r="O217" s="77" t="s">
        <v>318</v>
      </c>
      <c r="P217" s="77" t="s">
        <v>23</v>
      </c>
    </row>
    <row r="218" spans="2:16">
      <c r="B218" s="74" t="str">
        <f>IF(LEN(D218)&lt;10,CONCATENATE(LEFT(Inventario[[#This Row],[Área]],11),REPT(0,(10-LEN(D218))),D218),CONCATENATE(Inventario[Área],D218))</f>
        <v>1.2.8.13.0-0000000130</v>
      </c>
      <c r="C218" s="87"/>
      <c r="D218" s="76">
        <v>130</v>
      </c>
      <c r="E218" s="77">
        <v>1</v>
      </c>
      <c r="F218" s="77" t="s">
        <v>273</v>
      </c>
      <c r="G218" s="77" t="s">
        <v>158</v>
      </c>
      <c r="H218" s="77" t="s">
        <v>158</v>
      </c>
      <c r="I218" s="81" t="s">
        <v>158</v>
      </c>
      <c r="J218" s="78" t="s">
        <v>158</v>
      </c>
      <c r="K218" s="77" t="s">
        <v>158</v>
      </c>
      <c r="L218" s="77" t="s">
        <v>6</v>
      </c>
      <c r="M218" s="86" t="s">
        <v>158</v>
      </c>
      <c r="N218" s="77" t="s">
        <v>108</v>
      </c>
      <c r="O218" s="77" t="s">
        <v>318</v>
      </c>
      <c r="P218" s="77" t="s">
        <v>23</v>
      </c>
    </row>
    <row r="219" spans="2:16">
      <c r="B219" s="74" t="str">
        <f>IF(LEN(D219)&lt;10,CONCATENATE(LEFT(Inventario[[#This Row],[Área]],11),REPT(0,(10-LEN(D219))),D219),CONCATENATE(Inventario[Área],D219))</f>
        <v>1.3.10.0.0-0000000129</v>
      </c>
      <c r="C219" s="87"/>
      <c r="D219" s="76">
        <v>129</v>
      </c>
      <c r="E219" s="77">
        <v>1</v>
      </c>
      <c r="F219" s="77" t="s">
        <v>270</v>
      </c>
      <c r="G219" s="77" t="s">
        <v>158</v>
      </c>
      <c r="H219" s="77" t="s">
        <v>158</v>
      </c>
      <c r="I219" s="81" t="s">
        <v>158</v>
      </c>
      <c r="J219" s="78" t="s">
        <v>158</v>
      </c>
      <c r="K219" s="77" t="s">
        <v>158</v>
      </c>
      <c r="L219" s="77" t="s">
        <v>6</v>
      </c>
      <c r="M219" s="86" t="s">
        <v>158</v>
      </c>
      <c r="N219" s="77" t="s">
        <v>146</v>
      </c>
      <c r="O219" s="77" t="s">
        <v>266</v>
      </c>
      <c r="P219" s="77" t="s">
        <v>23</v>
      </c>
    </row>
    <row r="220" spans="2:16">
      <c r="B220" s="74" t="str">
        <f>IF(LEN(D220)&lt;10,CONCATENATE(LEFT(Inventario[[#This Row],[Área]],11),REPT(0,(10-LEN(D220))),D220),CONCATENATE(Inventario[Área],D220))</f>
        <v>1.3.10.0.0-0000000128</v>
      </c>
      <c r="C220" s="87"/>
      <c r="D220" s="76">
        <v>128</v>
      </c>
      <c r="E220" s="77">
        <v>1</v>
      </c>
      <c r="F220" s="77" t="s">
        <v>269</v>
      </c>
      <c r="G220" s="77" t="s">
        <v>156</v>
      </c>
      <c r="H220" s="77" t="s">
        <v>199</v>
      </c>
      <c r="I220" s="81" t="s">
        <v>158</v>
      </c>
      <c r="J220" s="78" t="s">
        <v>158</v>
      </c>
      <c r="K220" s="77" t="s">
        <v>158</v>
      </c>
      <c r="L220" s="77" t="s">
        <v>6</v>
      </c>
      <c r="M220" s="86" t="s">
        <v>158</v>
      </c>
      <c r="N220" s="77" t="s">
        <v>146</v>
      </c>
      <c r="O220" s="77" t="s">
        <v>266</v>
      </c>
      <c r="P220" s="77" t="s">
        <v>23</v>
      </c>
    </row>
    <row r="221" spans="2:16">
      <c r="B221" s="74" t="str">
        <f>IF(LEN(D221)&lt;10,CONCATENATE(LEFT(Inventario[[#This Row],[Área]],11),REPT(0,(10-LEN(D221))),D221),CONCATENATE(Inventario[Área],D221))</f>
        <v>1.3.10.0.0-0000000127</v>
      </c>
      <c r="C221" s="87"/>
      <c r="D221" s="76">
        <v>127</v>
      </c>
      <c r="E221" s="77">
        <v>1</v>
      </c>
      <c r="F221" s="77" t="s">
        <v>268</v>
      </c>
      <c r="G221" s="77" t="s">
        <v>158</v>
      </c>
      <c r="H221" s="77" t="s">
        <v>158</v>
      </c>
      <c r="I221" s="81" t="s">
        <v>158</v>
      </c>
      <c r="J221" s="78" t="s">
        <v>158</v>
      </c>
      <c r="K221" s="77" t="s">
        <v>158</v>
      </c>
      <c r="L221" s="77" t="s">
        <v>6</v>
      </c>
      <c r="M221" s="86" t="s">
        <v>158</v>
      </c>
      <c r="N221" s="77" t="s">
        <v>146</v>
      </c>
      <c r="O221" s="77" t="s">
        <v>266</v>
      </c>
      <c r="P221" s="77" t="s">
        <v>23</v>
      </c>
    </row>
    <row r="222" spans="2:16">
      <c r="B222" s="74" t="str">
        <f>IF(LEN(D222)&lt;10,CONCATENATE(LEFT(Inventario[[#This Row],[Área]],11),REPT(0,(10-LEN(D222))),D222),CONCATENATE(Inventario[Área],D222))</f>
        <v>1.3.10.0.0-0000000126</v>
      </c>
      <c r="C222" s="87"/>
      <c r="D222" s="76">
        <v>126</v>
      </c>
      <c r="E222" s="77">
        <v>1</v>
      </c>
      <c r="F222" s="77" t="s">
        <v>268</v>
      </c>
      <c r="G222" s="77" t="s">
        <v>158</v>
      </c>
      <c r="H222" s="77" t="s">
        <v>158</v>
      </c>
      <c r="I222" s="81" t="s">
        <v>158</v>
      </c>
      <c r="J222" s="78" t="s">
        <v>158</v>
      </c>
      <c r="K222" s="77" t="s">
        <v>158</v>
      </c>
      <c r="L222" s="77" t="s">
        <v>6</v>
      </c>
      <c r="M222" s="86" t="s">
        <v>158</v>
      </c>
      <c r="N222" s="77" t="s">
        <v>146</v>
      </c>
      <c r="O222" s="77" t="s">
        <v>266</v>
      </c>
      <c r="P222" s="77" t="s">
        <v>23</v>
      </c>
    </row>
    <row r="223" spans="2:16">
      <c r="B223" s="74" t="str">
        <f>IF(LEN(D223)&lt;10,CONCATENATE(LEFT(Inventario[[#This Row],[Área]],11),REPT(0,(10-LEN(D223))),D223),CONCATENATE(Inventario[Área],D223))</f>
        <v>1.3.10.0.0-0000000125</v>
      </c>
      <c r="C223" s="87"/>
      <c r="D223" s="76">
        <v>125</v>
      </c>
      <c r="E223" s="77">
        <v>1</v>
      </c>
      <c r="F223" s="77" t="s">
        <v>267</v>
      </c>
      <c r="G223" s="77" t="s">
        <v>158</v>
      </c>
      <c r="H223" s="77" t="s">
        <v>158</v>
      </c>
      <c r="I223" s="81" t="s">
        <v>158</v>
      </c>
      <c r="J223" s="78" t="s">
        <v>158</v>
      </c>
      <c r="K223" s="77" t="s">
        <v>158</v>
      </c>
      <c r="L223" s="77" t="s">
        <v>6</v>
      </c>
      <c r="M223" s="86" t="s">
        <v>158</v>
      </c>
      <c r="N223" s="77" t="s">
        <v>146</v>
      </c>
      <c r="O223" s="77" t="s">
        <v>266</v>
      </c>
      <c r="P223" s="77" t="s">
        <v>23</v>
      </c>
    </row>
    <row r="224" spans="2:16">
      <c r="B224" s="74" t="str">
        <f>IF(LEN(D224)&lt;10,CONCATENATE(LEFT(Inventario[[#This Row],[Área]],11),REPT(0,(10-LEN(D224))),D224),CONCATENATE(Inventario[Área],D224))</f>
        <v>1.3.10.0.0-0000000124</v>
      </c>
      <c r="C224" s="87"/>
      <c r="D224" s="76">
        <v>124</v>
      </c>
      <c r="E224" s="77">
        <v>1</v>
      </c>
      <c r="F224" s="77" t="s">
        <v>264</v>
      </c>
      <c r="G224" s="77" t="s">
        <v>158</v>
      </c>
      <c r="H224" s="77" t="s">
        <v>158</v>
      </c>
      <c r="I224" s="81" t="s">
        <v>158</v>
      </c>
      <c r="J224" s="78" t="s">
        <v>158</v>
      </c>
      <c r="K224" s="77" t="s">
        <v>158</v>
      </c>
      <c r="L224" s="77" t="s">
        <v>6</v>
      </c>
      <c r="M224" s="86" t="s">
        <v>158</v>
      </c>
      <c r="N224" s="77" t="s">
        <v>146</v>
      </c>
      <c r="O224" s="77" t="s">
        <v>265</v>
      </c>
      <c r="P224" s="77" t="s">
        <v>23</v>
      </c>
    </row>
    <row r="225" spans="2:16">
      <c r="B225" s="74" t="str">
        <f>IF(LEN(D225)&lt;10,CONCATENATE(LEFT(Inventario[[#This Row],[Área]],11),REPT(0,(10-LEN(D225))),D225),CONCATENATE(Inventario[Área],D225))</f>
        <v>1.3.4.0.0- 0000000123</v>
      </c>
      <c r="C225" s="75"/>
      <c r="D225" s="76">
        <v>123</v>
      </c>
      <c r="E225" s="77">
        <v>1</v>
      </c>
      <c r="F225" s="77" t="s">
        <v>175</v>
      </c>
      <c r="G225" s="77" t="s">
        <v>176</v>
      </c>
      <c r="H225" s="77" t="s">
        <v>177</v>
      </c>
      <c r="I225" s="81" t="s">
        <v>158</v>
      </c>
      <c r="J225" s="78" t="s">
        <v>158</v>
      </c>
      <c r="K225" s="77" t="s">
        <v>158</v>
      </c>
      <c r="L225" s="77" t="s">
        <v>6</v>
      </c>
      <c r="M225" s="86">
        <v>44347</v>
      </c>
      <c r="N225" s="77" t="s">
        <v>133</v>
      </c>
      <c r="O225" s="77" t="s">
        <v>253</v>
      </c>
      <c r="P225" s="77" t="s">
        <v>23</v>
      </c>
    </row>
    <row r="226" spans="2:16">
      <c r="B226" s="74" t="str">
        <f>IF(LEN(D226)&lt;10,CONCATENATE(LEFT(Inventario[[#This Row],[Área]],11),REPT(0,(10-LEN(D226))),D226),CONCATENATE(Inventario[Área],D226))</f>
        <v>1.3.4.0.0- 0000000122</v>
      </c>
      <c r="C226" s="75"/>
      <c r="D226" s="76">
        <v>122</v>
      </c>
      <c r="E226" s="77">
        <v>1</v>
      </c>
      <c r="F226" s="77" t="s">
        <v>174</v>
      </c>
      <c r="G226" s="77" t="s">
        <v>158</v>
      </c>
      <c r="H226" s="77" t="s">
        <v>158</v>
      </c>
      <c r="I226" s="81" t="s">
        <v>158</v>
      </c>
      <c r="J226" s="78" t="s">
        <v>158</v>
      </c>
      <c r="K226" s="77" t="s">
        <v>158</v>
      </c>
      <c r="L226" s="77" t="s">
        <v>6</v>
      </c>
      <c r="M226" s="86">
        <v>44347</v>
      </c>
      <c r="N226" s="77" t="s">
        <v>133</v>
      </c>
      <c r="O226" s="77" t="s">
        <v>253</v>
      </c>
      <c r="P226" s="77" t="s">
        <v>23</v>
      </c>
    </row>
    <row r="227" spans="2:16">
      <c r="B227" s="74" t="str">
        <f>IF(LEN(D227)&lt;10,CONCATENATE(LEFT(Inventario[[#This Row],[Área]],11),REPT(0,(10-LEN(D227))),D227),CONCATENATE(Inventario[Área],D227))</f>
        <v>1.3.4.0.0- 0000000121</v>
      </c>
      <c r="C227" s="75"/>
      <c r="D227" s="76">
        <v>121</v>
      </c>
      <c r="E227" s="77">
        <v>1</v>
      </c>
      <c r="F227" s="77" t="s">
        <v>173</v>
      </c>
      <c r="G227" s="77" t="s">
        <v>158</v>
      </c>
      <c r="H227" s="77" t="s">
        <v>158</v>
      </c>
      <c r="I227" s="81" t="s">
        <v>158</v>
      </c>
      <c r="J227" s="78" t="s">
        <v>158</v>
      </c>
      <c r="K227" s="77" t="s">
        <v>158</v>
      </c>
      <c r="L227" s="77" t="s">
        <v>6</v>
      </c>
      <c r="M227" s="86">
        <v>44347</v>
      </c>
      <c r="N227" s="77" t="s">
        <v>133</v>
      </c>
      <c r="O227" s="77" t="s">
        <v>253</v>
      </c>
      <c r="P227" s="77" t="s">
        <v>23</v>
      </c>
    </row>
    <row r="228" spans="2:16">
      <c r="B228" s="74" t="str">
        <f>IF(LEN(D228)&lt;10,CONCATENATE(LEFT(Inventario[[#This Row],[Área]],11),REPT(0,(10-LEN(D228))),D228),CONCATENATE(Inventario[Área],D228))</f>
        <v>1.3.4.0.0- 0000000120</v>
      </c>
      <c r="C228" s="75"/>
      <c r="D228" s="76">
        <v>120</v>
      </c>
      <c r="E228" s="77">
        <v>1</v>
      </c>
      <c r="F228" s="77" t="s">
        <v>263</v>
      </c>
      <c r="G228" s="77" t="s">
        <v>158</v>
      </c>
      <c r="H228" s="77" t="s">
        <v>158</v>
      </c>
      <c r="I228" s="81" t="s">
        <v>158</v>
      </c>
      <c r="J228" s="78" t="s">
        <v>158</v>
      </c>
      <c r="K228" s="77" t="s">
        <v>158</v>
      </c>
      <c r="L228" s="77" t="s">
        <v>6</v>
      </c>
      <c r="M228" s="86">
        <v>44347</v>
      </c>
      <c r="N228" s="77" t="s">
        <v>133</v>
      </c>
      <c r="O228" s="77" t="s">
        <v>253</v>
      </c>
      <c r="P228" s="77" t="s">
        <v>23</v>
      </c>
    </row>
    <row r="229" spans="2:16">
      <c r="B229" s="74" t="str">
        <f>IF(LEN(D229)&lt;10,CONCATENATE(LEFT(Inventario[[#This Row],[Área]],11),REPT(0,(10-LEN(D229))),D229),CONCATENATE(Inventario[Área],D229))</f>
        <v>1.3.4.0.0- 0000000119</v>
      </c>
      <c r="C229" s="75"/>
      <c r="D229" s="76">
        <v>119</v>
      </c>
      <c r="E229" s="77">
        <v>1</v>
      </c>
      <c r="F229" s="77" t="s">
        <v>262</v>
      </c>
      <c r="G229" s="77" t="s">
        <v>158</v>
      </c>
      <c r="H229" s="77" t="s">
        <v>158</v>
      </c>
      <c r="I229" s="81" t="s">
        <v>158</v>
      </c>
      <c r="J229" s="78" t="s">
        <v>158</v>
      </c>
      <c r="K229" s="77" t="s">
        <v>158</v>
      </c>
      <c r="L229" s="77" t="s">
        <v>6</v>
      </c>
      <c r="M229" s="86">
        <v>44347</v>
      </c>
      <c r="N229" s="77" t="s">
        <v>133</v>
      </c>
      <c r="O229" s="77" t="s">
        <v>253</v>
      </c>
      <c r="P229" s="77" t="s">
        <v>23</v>
      </c>
    </row>
    <row r="230" spans="2:16">
      <c r="B230" s="74" t="str">
        <f>IF(LEN(D230)&lt;10,CONCATENATE(LEFT(Inventario[[#This Row],[Área]],11),REPT(0,(10-LEN(D230))),D230),CONCATENATE(Inventario[Área],D230))</f>
        <v>1.3.4.0.0- 0000000118</v>
      </c>
      <c r="C230" s="75"/>
      <c r="D230" s="76">
        <v>118</v>
      </c>
      <c r="E230" s="77">
        <v>3</v>
      </c>
      <c r="F230" s="77" t="s">
        <v>261</v>
      </c>
      <c r="G230" s="77" t="s">
        <v>158</v>
      </c>
      <c r="H230" s="77" t="s">
        <v>158</v>
      </c>
      <c r="I230" s="81" t="s">
        <v>158</v>
      </c>
      <c r="J230" s="78" t="s">
        <v>158</v>
      </c>
      <c r="K230" s="77" t="s">
        <v>158</v>
      </c>
      <c r="L230" s="77" t="s">
        <v>6</v>
      </c>
      <c r="M230" s="86">
        <v>44347</v>
      </c>
      <c r="N230" s="77" t="s">
        <v>133</v>
      </c>
      <c r="O230" s="77" t="s">
        <v>253</v>
      </c>
      <c r="P230" s="77" t="s">
        <v>23</v>
      </c>
    </row>
    <row r="231" spans="2:16">
      <c r="B231" s="74" t="str">
        <f>IF(LEN(D231)&lt;10,CONCATENATE(LEFT(Inventario[[#This Row],[Área]],11),REPT(0,(10-LEN(D231))),D231),CONCATENATE(Inventario[Área],D231))</f>
        <v>1.3.4.0.0- 0000000117</v>
      </c>
      <c r="C231" s="75"/>
      <c r="D231" s="76">
        <v>117</v>
      </c>
      <c r="E231" s="77">
        <v>1</v>
      </c>
      <c r="F231" s="77" t="s">
        <v>260</v>
      </c>
      <c r="G231" s="77" t="s">
        <v>158</v>
      </c>
      <c r="H231" s="77" t="s">
        <v>158</v>
      </c>
      <c r="I231" s="81" t="s">
        <v>158</v>
      </c>
      <c r="J231" s="78" t="s">
        <v>158</v>
      </c>
      <c r="K231" s="77" t="s">
        <v>158</v>
      </c>
      <c r="L231" s="77" t="s">
        <v>6</v>
      </c>
      <c r="M231" s="86">
        <v>44347</v>
      </c>
      <c r="N231" s="77" t="s">
        <v>133</v>
      </c>
      <c r="O231" s="77" t="s">
        <v>253</v>
      </c>
      <c r="P231" s="77" t="s">
        <v>23</v>
      </c>
    </row>
    <row r="232" spans="2:16">
      <c r="B232" s="74" t="str">
        <f>IF(LEN(D232)&lt;10,CONCATENATE(LEFT(Inventario[[#This Row],[Área]],11),REPT(0,(10-LEN(D232))),D232),CONCATENATE(Inventario[Área],D232))</f>
        <v>1.3.4.0.0- 0000000116</v>
      </c>
      <c r="C232" s="75"/>
      <c r="D232" s="76">
        <v>116</v>
      </c>
      <c r="E232" s="77">
        <v>2</v>
      </c>
      <c r="F232" s="77" t="s">
        <v>259</v>
      </c>
      <c r="G232" s="77" t="s">
        <v>158</v>
      </c>
      <c r="H232" s="77" t="s">
        <v>158</v>
      </c>
      <c r="I232" s="81" t="s">
        <v>158</v>
      </c>
      <c r="J232" s="78" t="s">
        <v>158</v>
      </c>
      <c r="K232" s="77" t="s">
        <v>158</v>
      </c>
      <c r="L232" s="77" t="s">
        <v>6</v>
      </c>
      <c r="M232" s="86">
        <v>44347</v>
      </c>
      <c r="N232" s="77" t="s">
        <v>133</v>
      </c>
      <c r="O232" s="77" t="s">
        <v>253</v>
      </c>
      <c r="P232" s="77" t="s">
        <v>23</v>
      </c>
    </row>
    <row r="233" spans="2:16">
      <c r="B233" s="74" t="str">
        <f>IF(LEN(D233)&lt;10,CONCATENATE(LEFT(Inventario[[#This Row],[Área]],11),REPT(0,(10-LEN(D233))),D233),CONCATENATE(Inventario[Área],D233))</f>
        <v>1.3.4.0.0- 0000000115</v>
      </c>
      <c r="C233" s="75"/>
      <c r="D233" s="76">
        <v>115</v>
      </c>
      <c r="E233" s="77">
        <v>1</v>
      </c>
      <c r="F233" s="77" t="s">
        <v>258</v>
      </c>
      <c r="G233" s="77" t="s">
        <v>158</v>
      </c>
      <c r="H233" s="77" t="s">
        <v>158</v>
      </c>
      <c r="I233" s="81" t="s">
        <v>158</v>
      </c>
      <c r="J233" s="78" t="s">
        <v>158</v>
      </c>
      <c r="K233" s="77" t="s">
        <v>158</v>
      </c>
      <c r="L233" s="77" t="s">
        <v>6</v>
      </c>
      <c r="M233" s="86">
        <v>44347</v>
      </c>
      <c r="N233" s="77" t="s">
        <v>133</v>
      </c>
      <c r="O233" s="77" t="s">
        <v>253</v>
      </c>
      <c r="P233" s="77" t="s">
        <v>23</v>
      </c>
    </row>
    <row r="234" spans="2:16">
      <c r="B234" s="74" t="str">
        <f>IF(LEN(D234)&lt;10,CONCATENATE(LEFT(Inventario[[#This Row],[Área]],11),REPT(0,(10-LEN(D234))),D234),CONCATENATE(Inventario[Área],D234))</f>
        <v>1.3.4.0.0- 0000000114</v>
      </c>
      <c r="C234" s="75"/>
      <c r="D234" s="76">
        <v>114</v>
      </c>
      <c r="E234" s="77">
        <v>1</v>
      </c>
      <c r="F234" s="77" t="s">
        <v>257</v>
      </c>
      <c r="G234" s="77" t="s">
        <v>158</v>
      </c>
      <c r="H234" s="77" t="s">
        <v>158</v>
      </c>
      <c r="I234" s="81" t="s">
        <v>158</v>
      </c>
      <c r="J234" s="78" t="s">
        <v>158</v>
      </c>
      <c r="K234" s="77" t="s">
        <v>158</v>
      </c>
      <c r="L234" s="77" t="s">
        <v>6</v>
      </c>
      <c r="M234" s="86">
        <v>44347</v>
      </c>
      <c r="N234" s="77" t="s">
        <v>133</v>
      </c>
      <c r="O234" s="77" t="s">
        <v>253</v>
      </c>
      <c r="P234" s="77" t="s">
        <v>23</v>
      </c>
    </row>
    <row r="235" spans="2:16">
      <c r="B235" s="74" t="str">
        <f>IF(LEN(D235)&lt;10,CONCATENATE(LEFT(Inventario[[#This Row],[Área]],11),REPT(0,(10-LEN(D235))),D235),CONCATENATE(Inventario[Área],D235))</f>
        <v>1.3.4.0.0- 0000000113</v>
      </c>
      <c r="C235" s="75"/>
      <c r="D235" s="76">
        <v>113</v>
      </c>
      <c r="E235" s="77">
        <v>1</v>
      </c>
      <c r="F235" s="77" t="s">
        <v>256</v>
      </c>
      <c r="G235" s="77" t="s">
        <v>158</v>
      </c>
      <c r="H235" s="77" t="s">
        <v>158</v>
      </c>
      <c r="I235" s="81" t="s">
        <v>158</v>
      </c>
      <c r="J235" s="78" t="s">
        <v>158</v>
      </c>
      <c r="K235" s="77" t="s">
        <v>158</v>
      </c>
      <c r="L235" s="77" t="s">
        <v>6</v>
      </c>
      <c r="M235" s="86">
        <v>44347</v>
      </c>
      <c r="N235" s="77" t="s">
        <v>133</v>
      </c>
      <c r="O235" s="77" t="s">
        <v>253</v>
      </c>
      <c r="P235" s="77" t="s">
        <v>23</v>
      </c>
    </row>
    <row r="236" spans="2:16">
      <c r="B236" s="74" t="str">
        <f>IF(LEN(D236)&lt;10,CONCATENATE(LEFT(Inventario[[#This Row],[Área]],11),REPT(0,(10-LEN(D236))),D236),CONCATENATE(Inventario[Área],D236))</f>
        <v>1.3.4.0.0- 0000000112</v>
      </c>
      <c r="C236" s="75"/>
      <c r="D236" s="76">
        <v>112</v>
      </c>
      <c r="E236" s="77">
        <v>3</v>
      </c>
      <c r="F236" s="77" t="s">
        <v>255</v>
      </c>
      <c r="G236" s="77" t="s">
        <v>158</v>
      </c>
      <c r="H236" s="77" t="s">
        <v>158</v>
      </c>
      <c r="I236" s="81" t="s">
        <v>158</v>
      </c>
      <c r="J236" s="78" t="s">
        <v>158</v>
      </c>
      <c r="K236" s="77" t="s">
        <v>158</v>
      </c>
      <c r="L236" s="77" t="s">
        <v>6</v>
      </c>
      <c r="M236" s="86">
        <v>44347</v>
      </c>
      <c r="N236" s="77" t="s">
        <v>133</v>
      </c>
      <c r="O236" s="77" t="s">
        <v>253</v>
      </c>
      <c r="P236" s="77" t="s">
        <v>23</v>
      </c>
    </row>
    <row r="237" spans="2:16">
      <c r="B237" s="74" t="str">
        <f>IF(LEN(D237)&lt;10,CONCATENATE(LEFT(Inventario[[#This Row],[Área]],11),REPT(0,(10-LEN(D237))),D237),CONCATENATE(Inventario[Área],D237))</f>
        <v>1.3.4.0.0- 0000000111</v>
      </c>
      <c r="C237" s="75"/>
      <c r="D237" s="76">
        <v>111</v>
      </c>
      <c r="E237" s="77">
        <v>1</v>
      </c>
      <c r="F237" s="77" t="s">
        <v>254</v>
      </c>
      <c r="G237" s="77" t="s">
        <v>158</v>
      </c>
      <c r="H237" s="77" t="s">
        <v>158</v>
      </c>
      <c r="I237" s="81" t="s">
        <v>158</v>
      </c>
      <c r="J237" s="78" t="s">
        <v>158</v>
      </c>
      <c r="K237" s="77" t="s">
        <v>158</v>
      </c>
      <c r="L237" s="77" t="s">
        <v>6</v>
      </c>
      <c r="M237" s="86">
        <v>44347</v>
      </c>
      <c r="N237" s="77" t="s">
        <v>133</v>
      </c>
      <c r="O237" s="77" t="s">
        <v>253</v>
      </c>
      <c r="P237" s="77" t="s">
        <v>23</v>
      </c>
    </row>
    <row r="238" spans="2:16">
      <c r="B238" s="74" t="str">
        <f>IF(LEN(D238)&lt;10,CONCATENATE(LEFT(Inventario[[#This Row],[Área]],11),REPT(0,(10-LEN(D238))),D238),CONCATENATE(Inventario[Área],D238))</f>
        <v>1.3.4.0.0- 0000000110</v>
      </c>
      <c r="C238" s="75"/>
      <c r="D238" s="76">
        <v>110</v>
      </c>
      <c r="E238" s="77">
        <v>1</v>
      </c>
      <c r="F238" s="77" t="s">
        <v>218</v>
      </c>
      <c r="G238" s="77" t="s">
        <v>160</v>
      </c>
      <c r="H238" s="77" t="s">
        <v>161</v>
      </c>
      <c r="I238" s="81" t="s">
        <v>162</v>
      </c>
      <c r="J238" s="78" t="s">
        <v>158</v>
      </c>
      <c r="K238" s="77" t="s">
        <v>158</v>
      </c>
      <c r="L238" s="77" t="s">
        <v>6</v>
      </c>
      <c r="M238" s="86">
        <v>44347</v>
      </c>
      <c r="N238" s="77" t="s">
        <v>133</v>
      </c>
      <c r="O238" s="77" t="s">
        <v>253</v>
      </c>
      <c r="P238" s="77" t="s">
        <v>23</v>
      </c>
    </row>
    <row r="239" spans="2:16">
      <c r="B239" s="74" t="str">
        <f>IF(LEN(D239)&lt;10,CONCATENATE(LEFT(Inventario[[#This Row],[Área]],11),REPT(0,(10-LEN(D239))),D239),CONCATENATE(Inventario[Área],D239))</f>
        <v>1.3.4.0.0- 0000000109</v>
      </c>
      <c r="C239" s="75"/>
      <c r="D239" s="76">
        <v>109</v>
      </c>
      <c r="E239" s="77">
        <v>1</v>
      </c>
      <c r="F239" s="77" t="s">
        <v>181</v>
      </c>
      <c r="G239" s="77" t="s">
        <v>156</v>
      </c>
      <c r="H239" s="77" t="s">
        <v>157</v>
      </c>
      <c r="I239" s="81" t="s">
        <v>158</v>
      </c>
      <c r="J239" s="78" t="s">
        <v>158</v>
      </c>
      <c r="K239" s="77" t="s">
        <v>158</v>
      </c>
      <c r="L239" s="77" t="s">
        <v>6</v>
      </c>
      <c r="M239" s="86">
        <v>44347</v>
      </c>
      <c r="N239" s="77" t="s">
        <v>133</v>
      </c>
      <c r="O239" s="77" t="s">
        <v>253</v>
      </c>
      <c r="P239" s="77" t="s">
        <v>23</v>
      </c>
    </row>
    <row r="240" spans="2:16">
      <c r="B240" s="74" t="str">
        <f>IF(LEN(D240)&lt;10,CONCATENATE(LEFT(Inventario[[#This Row],[Área]],11),REPT(0,(10-LEN(D240))),D240),CONCATENATE(Inventario[Área],D240))</f>
        <v>1.3.4.0.0- 0000000108</v>
      </c>
      <c r="C240" s="75"/>
      <c r="D240" s="76">
        <v>108</v>
      </c>
      <c r="E240" s="77">
        <v>1</v>
      </c>
      <c r="F240" s="77" t="s">
        <v>217</v>
      </c>
      <c r="G240" s="77" t="s">
        <v>158</v>
      </c>
      <c r="H240" s="77" t="s">
        <v>158</v>
      </c>
      <c r="I240" s="81" t="s">
        <v>158</v>
      </c>
      <c r="J240" s="78" t="s">
        <v>158</v>
      </c>
      <c r="K240" s="77" t="s">
        <v>158</v>
      </c>
      <c r="L240" s="77" t="s">
        <v>6</v>
      </c>
      <c r="M240" s="86">
        <v>44347</v>
      </c>
      <c r="N240" s="77" t="s">
        <v>133</v>
      </c>
      <c r="O240" s="77" t="s">
        <v>253</v>
      </c>
      <c r="P240" s="77" t="s">
        <v>23</v>
      </c>
    </row>
    <row r="241" spans="2:16">
      <c r="B241" s="74" t="str">
        <f>IF(LEN(D241)&lt;10,CONCATENATE(LEFT(Inventario[[#This Row],[Área]],11),REPT(0,(10-LEN(D241))),D241),CONCATENATE(Inventario[Área],D241))</f>
        <v>1.3.4.0.0- 0000000107</v>
      </c>
      <c r="C241" s="75"/>
      <c r="D241" s="76">
        <v>107</v>
      </c>
      <c r="E241" s="77">
        <v>1</v>
      </c>
      <c r="F241" s="77" t="s">
        <v>181</v>
      </c>
      <c r="G241" s="77" t="s">
        <v>156</v>
      </c>
      <c r="H241" s="77" t="s">
        <v>252</v>
      </c>
      <c r="I241" s="81" t="s">
        <v>158</v>
      </c>
      <c r="J241" s="78" t="s">
        <v>158</v>
      </c>
      <c r="K241" s="77" t="s">
        <v>158</v>
      </c>
      <c r="L241" s="77" t="s">
        <v>6</v>
      </c>
      <c r="M241" s="86">
        <v>44347</v>
      </c>
      <c r="N241" s="77" t="s">
        <v>133</v>
      </c>
      <c r="O241" s="77" t="s">
        <v>253</v>
      </c>
      <c r="P241" s="77" t="s">
        <v>23</v>
      </c>
    </row>
    <row r="242" spans="2:16">
      <c r="B242" s="74" t="str">
        <f>IF(LEN(D242)&lt;10,CONCATENATE(LEFT(Inventario[[#This Row],[Área]],11),REPT(0,(10-LEN(D242))),D242),CONCATENATE(Inventario[Área],D242))</f>
        <v>1.3.4.0.0- 0000000106</v>
      </c>
      <c r="C242" s="75"/>
      <c r="D242" s="76">
        <v>106</v>
      </c>
      <c r="E242" s="77">
        <v>1</v>
      </c>
      <c r="F242" s="77" t="s">
        <v>248</v>
      </c>
      <c r="G242" s="77" t="s">
        <v>249</v>
      </c>
      <c r="H242" s="77" t="s">
        <v>250</v>
      </c>
      <c r="I242" s="81" t="s">
        <v>251</v>
      </c>
      <c r="J242" s="78" t="s">
        <v>158</v>
      </c>
      <c r="K242" s="77" t="s">
        <v>158</v>
      </c>
      <c r="L242" s="77" t="s">
        <v>6</v>
      </c>
      <c r="M242" s="86">
        <v>44347</v>
      </c>
      <c r="N242" s="77" t="s">
        <v>133</v>
      </c>
      <c r="O242" s="77" t="s">
        <v>253</v>
      </c>
      <c r="P242" s="77" t="s">
        <v>23</v>
      </c>
    </row>
    <row r="243" spans="2:16">
      <c r="B243" s="74" t="str">
        <f>IF(LEN(D243)&lt;10,CONCATENATE(LEFT(Inventario[[#This Row],[Área]],11),REPT(0,(10-LEN(D243))),D243),CONCATENATE(Inventario[Área],D243))</f>
        <v>1.3.4.0.0- 0000000105</v>
      </c>
      <c r="C243" s="75"/>
      <c r="D243" s="76">
        <v>105</v>
      </c>
      <c r="E243" s="77">
        <v>1</v>
      </c>
      <c r="F243" s="77" t="s">
        <v>181</v>
      </c>
      <c r="G243" s="77" t="s">
        <v>156</v>
      </c>
      <c r="H243" s="77" t="s">
        <v>247</v>
      </c>
      <c r="I243" s="81" t="s">
        <v>158</v>
      </c>
      <c r="J243" s="78" t="s">
        <v>158</v>
      </c>
      <c r="K243" s="77" t="s">
        <v>158</v>
      </c>
      <c r="L243" s="77" t="s">
        <v>6</v>
      </c>
      <c r="M243" s="86">
        <v>44347</v>
      </c>
      <c r="N243" s="77" t="s">
        <v>133</v>
      </c>
      <c r="O243" s="77" t="s">
        <v>253</v>
      </c>
      <c r="P243" s="77" t="s">
        <v>23</v>
      </c>
    </row>
    <row r="244" spans="2:16">
      <c r="B244" s="74" t="str">
        <f>IF(LEN(D244)&lt;10,CONCATENATE(LEFT(Inventario[[#This Row],[Área]],11),REPT(0,(10-LEN(D244))),D244),CONCATENATE(Inventario[Área],D244))</f>
        <v>1.3.4.0.0- 0000000104</v>
      </c>
      <c r="C244" s="75"/>
      <c r="D244" s="76">
        <v>104</v>
      </c>
      <c r="E244" s="77">
        <v>1</v>
      </c>
      <c r="F244" s="77" t="s">
        <v>245</v>
      </c>
      <c r="G244" s="77" t="s">
        <v>246</v>
      </c>
      <c r="H244" s="77" t="s">
        <v>158</v>
      </c>
      <c r="I244" s="81" t="s">
        <v>158</v>
      </c>
      <c r="J244" s="78" t="s">
        <v>158</v>
      </c>
      <c r="K244" s="77" t="s">
        <v>158</v>
      </c>
      <c r="L244" s="77" t="s">
        <v>6</v>
      </c>
      <c r="M244" s="86">
        <v>44347</v>
      </c>
      <c r="N244" s="77" t="s">
        <v>133</v>
      </c>
      <c r="O244" s="77" t="s">
        <v>253</v>
      </c>
      <c r="P244" s="77" t="s">
        <v>23</v>
      </c>
    </row>
    <row r="245" spans="2:16">
      <c r="B245" s="74" t="str">
        <f>IF(LEN(D245)&lt;10,CONCATENATE(LEFT(Inventario[[#This Row],[Área]],11),REPT(0,(10-LEN(D245))),D245),CONCATENATE(Inventario[Área],D245))</f>
        <v>1.3.4.0.0- 0000000103</v>
      </c>
      <c r="C245" s="75"/>
      <c r="D245" s="76">
        <v>103</v>
      </c>
      <c r="E245" s="77">
        <v>1</v>
      </c>
      <c r="F245" s="77" t="s">
        <v>241</v>
      </c>
      <c r="G245" s="77" t="s">
        <v>242</v>
      </c>
      <c r="H245" s="77" t="s">
        <v>243</v>
      </c>
      <c r="I245" s="81">
        <v>221811502115</v>
      </c>
      <c r="J245" s="78" t="s">
        <v>158</v>
      </c>
      <c r="K245" s="77" t="s">
        <v>158</v>
      </c>
      <c r="L245" s="77" t="s">
        <v>6</v>
      </c>
      <c r="M245" s="86">
        <v>44347</v>
      </c>
      <c r="N245" s="77" t="s">
        <v>133</v>
      </c>
      <c r="O245" s="77" t="s">
        <v>253</v>
      </c>
      <c r="P245" s="77" t="s">
        <v>23</v>
      </c>
    </row>
    <row r="246" spans="2:16">
      <c r="B246" s="74" t="str">
        <f>IF(LEN(D246)&lt;10,CONCATENATE(LEFT(Inventario[[#This Row],[Área]],11),REPT(0,(10-LEN(D246))),D246),CONCATENATE(Inventario[Área],D246))</f>
        <v>1.3.4.0.0- 0000000102</v>
      </c>
      <c r="C246" s="75"/>
      <c r="D246" s="76">
        <v>102</v>
      </c>
      <c r="E246" s="77">
        <v>1</v>
      </c>
      <c r="F246" s="77" t="s">
        <v>241</v>
      </c>
      <c r="G246" s="77" t="s">
        <v>242</v>
      </c>
      <c r="H246" s="77" t="s">
        <v>243</v>
      </c>
      <c r="I246" s="81">
        <v>221807506678</v>
      </c>
      <c r="J246" s="78" t="s">
        <v>158</v>
      </c>
      <c r="K246" s="77" t="s">
        <v>158</v>
      </c>
      <c r="L246" s="77" t="s">
        <v>6</v>
      </c>
      <c r="M246" s="86">
        <v>44347</v>
      </c>
      <c r="N246" s="77" t="s">
        <v>133</v>
      </c>
      <c r="O246" s="77" t="s">
        <v>253</v>
      </c>
      <c r="P246" s="77" t="s">
        <v>23</v>
      </c>
    </row>
    <row r="247" spans="2:16">
      <c r="B247" s="74" t="str">
        <f>IF(LEN(D247)&lt;10,CONCATENATE(LEFT(Inventario[[#This Row],[Área]],11),REPT(0,(10-LEN(D247))),D247),CONCATENATE(Inventario[Área],D247))</f>
        <v>1.3.4.0.0- 0000000101</v>
      </c>
      <c r="C247" s="75"/>
      <c r="D247" s="76">
        <v>101</v>
      </c>
      <c r="E247" s="77">
        <v>1</v>
      </c>
      <c r="F247" s="77" t="s">
        <v>237</v>
      </c>
      <c r="G247" s="77" t="s">
        <v>238</v>
      </c>
      <c r="H247" s="77" t="s">
        <v>158</v>
      </c>
      <c r="I247" s="81" t="s">
        <v>158</v>
      </c>
      <c r="J247" s="78" t="s">
        <v>158</v>
      </c>
      <c r="K247" s="77" t="s">
        <v>158</v>
      </c>
      <c r="L247" s="77" t="s">
        <v>6</v>
      </c>
      <c r="M247" s="86">
        <v>44347</v>
      </c>
      <c r="N247" s="77" t="s">
        <v>133</v>
      </c>
      <c r="O247" s="77" t="s">
        <v>253</v>
      </c>
      <c r="P247" s="77" t="s">
        <v>23</v>
      </c>
    </row>
    <row r="248" spans="2:16">
      <c r="B248" s="74" t="str">
        <f>IF(LEN(D248)&lt;10,CONCATENATE(LEFT(Inventario[[#This Row],[Área]],11),REPT(0,(10-LEN(D248))),D248),CONCATENATE(Inventario[Área],D248))</f>
        <v>1.3.4.0.0- 0000000100</v>
      </c>
      <c r="C248" s="75"/>
      <c r="D248" s="76">
        <v>100</v>
      </c>
      <c r="E248" s="77">
        <v>1</v>
      </c>
      <c r="F248" s="77" t="s">
        <v>237</v>
      </c>
      <c r="G248" s="77" t="s">
        <v>238</v>
      </c>
      <c r="H248" s="77" t="s">
        <v>239</v>
      </c>
      <c r="I248" s="81" t="s">
        <v>158</v>
      </c>
      <c r="J248" s="78" t="s">
        <v>158</v>
      </c>
      <c r="K248" s="77" t="s">
        <v>158</v>
      </c>
      <c r="L248" s="77" t="s">
        <v>6</v>
      </c>
      <c r="M248" s="86">
        <v>44347</v>
      </c>
      <c r="N248" s="77" t="s">
        <v>133</v>
      </c>
      <c r="O248" s="77" t="s">
        <v>253</v>
      </c>
      <c r="P248" s="77" t="s">
        <v>23</v>
      </c>
    </row>
    <row r="249" spans="2:16">
      <c r="B249" s="74" t="str">
        <f>IF(LEN(D249)&lt;10,CONCATENATE(LEFT(Inventario[[#This Row],[Área]],11),REPT(0,(10-LEN(D249))),D249),CONCATENATE(Inventario[Área],D249))</f>
        <v>1.3.4.0.0- 0000000099</v>
      </c>
      <c r="C249" s="75"/>
      <c r="D249" s="76">
        <v>99</v>
      </c>
      <c r="E249" s="77">
        <v>1</v>
      </c>
      <c r="F249" s="77" t="s">
        <v>233</v>
      </c>
      <c r="G249" s="77" t="s">
        <v>234</v>
      </c>
      <c r="H249" s="77" t="s">
        <v>235</v>
      </c>
      <c r="I249" s="81" t="s">
        <v>236</v>
      </c>
      <c r="J249" s="78" t="s">
        <v>158</v>
      </c>
      <c r="K249" s="77" t="s">
        <v>158</v>
      </c>
      <c r="L249" s="77" t="s">
        <v>6</v>
      </c>
      <c r="M249" s="86">
        <v>44347</v>
      </c>
      <c r="N249" s="77" t="s">
        <v>133</v>
      </c>
      <c r="O249" s="77" t="s">
        <v>253</v>
      </c>
      <c r="P249" s="77" t="s">
        <v>23</v>
      </c>
    </row>
    <row r="250" spans="2:16">
      <c r="B250" s="74" t="str">
        <f>IF(LEN(D250)&lt;10,CONCATENATE(LEFT(Inventario[[#This Row],[Área]],11),REPT(0,(10-LEN(D250))),D250),CONCATENATE(Inventario[Área],D250))</f>
        <v>1.3.4.0.0- 0000000098</v>
      </c>
      <c r="C250" s="75"/>
      <c r="D250" s="76">
        <v>98</v>
      </c>
      <c r="E250" s="77">
        <v>1</v>
      </c>
      <c r="F250" s="77" t="s">
        <v>229</v>
      </c>
      <c r="G250" s="77" t="s">
        <v>230</v>
      </c>
      <c r="H250" s="77" t="s">
        <v>231</v>
      </c>
      <c r="I250" s="81" t="s">
        <v>232</v>
      </c>
      <c r="J250" s="78" t="s">
        <v>158</v>
      </c>
      <c r="K250" s="77" t="s">
        <v>158</v>
      </c>
      <c r="L250" s="77" t="s">
        <v>6</v>
      </c>
      <c r="M250" s="86">
        <v>44347</v>
      </c>
      <c r="N250" s="77" t="s">
        <v>133</v>
      </c>
      <c r="O250" s="77" t="s">
        <v>253</v>
      </c>
      <c r="P250" s="77" t="s">
        <v>23</v>
      </c>
    </row>
    <row r="251" spans="2:16">
      <c r="B251" s="74" t="str">
        <f>IF(LEN(D251)&lt;10,CONCATENATE(LEFT(Inventario[[#This Row],[Área]],11),REPT(0,(10-LEN(D251))),D251),CONCATENATE(Inventario[Área],D251))</f>
        <v>1.3.4.0.0- 0000000097</v>
      </c>
      <c r="C251" s="75"/>
      <c r="D251" s="76">
        <v>97</v>
      </c>
      <c r="E251" s="77">
        <v>1</v>
      </c>
      <c r="F251" s="77" t="s">
        <v>226</v>
      </c>
      <c r="G251" s="77" t="s">
        <v>227</v>
      </c>
      <c r="H251" s="77">
        <v>1500</v>
      </c>
      <c r="I251" s="81" t="s">
        <v>228</v>
      </c>
      <c r="J251" s="78" t="s">
        <v>158</v>
      </c>
      <c r="K251" s="77" t="s">
        <v>158</v>
      </c>
      <c r="L251" s="77" t="s">
        <v>6</v>
      </c>
      <c r="M251" s="86">
        <v>44347</v>
      </c>
      <c r="N251" s="77" t="s">
        <v>133</v>
      </c>
      <c r="O251" s="77" t="s">
        <v>253</v>
      </c>
      <c r="P251" s="77" t="s">
        <v>23</v>
      </c>
    </row>
    <row r="252" spans="2:16">
      <c r="B252" s="74" t="str">
        <f>IF(LEN(D252)&lt;10,CONCATENATE(LEFT(Inventario[[#This Row],[Área]],11),REPT(0,(10-LEN(D252))),D252),CONCATENATE(Inventario[Área],D252))</f>
        <v>1.3.4.0.0- 0000000096</v>
      </c>
      <c r="C252" s="75"/>
      <c r="D252" s="76">
        <v>96</v>
      </c>
      <c r="E252" s="77">
        <v>1</v>
      </c>
      <c r="F252" s="77" t="s">
        <v>223</v>
      </c>
      <c r="G252" s="77" t="s">
        <v>224</v>
      </c>
      <c r="H252" s="77" t="s">
        <v>225</v>
      </c>
      <c r="I252" s="81" t="s">
        <v>158</v>
      </c>
      <c r="J252" s="78" t="s">
        <v>158</v>
      </c>
      <c r="K252" s="77" t="s">
        <v>158</v>
      </c>
      <c r="L252" s="77" t="s">
        <v>6</v>
      </c>
      <c r="M252" s="86">
        <v>44347</v>
      </c>
      <c r="N252" s="77" t="s">
        <v>133</v>
      </c>
      <c r="O252" s="77" t="s">
        <v>253</v>
      </c>
      <c r="P252" s="77" t="s">
        <v>23</v>
      </c>
    </row>
    <row r="253" spans="2:16">
      <c r="B253" s="74" t="str">
        <f>IF(LEN(D253)&lt;10,CONCATENATE(LEFT(Inventario[[#This Row],[Área]],11),REPT(0,(10-LEN(D253))),D253),CONCATENATE(Inventario[Área],D253))</f>
        <v>1.3.4.0.0- 0000000095</v>
      </c>
      <c r="C253" s="75"/>
      <c r="D253" s="76">
        <v>95</v>
      </c>
      <c r="E253" s="77">
        <v>1</v>
      </c>
      <c r="F253" s="77" t="s">
        <v>218</v>
      </c>
      <c r="G253" s="77" t="s">
        <v>160</v>
      </c>
      <c r="H253" s="77" t="s">
        <v>221</v>
      </c>
      <c r="I253" s="81" t="s">
        <v>222</v>
      </c>
      <c r="J253" s="78" t="s">
        <v>158</v>
      </c>
      <c r="K253" s="77" t="s">
        <v>158</v>
      </c>
      <c r="L253" s="77" t="s">
        <v>6</v>
      </c>
      <c r="M253" s="86">
        <v>44347</v>
      </c>
      <c r="N253" s="77" t="s">
        <v>133</v>
      </c>
      <c r="O253" s="77" t="s">
        <v>253</v>
      </c>
      <c r="P253" s="77" t="s">
        <v>23</v>
      </c>
    </row>
    <row r="254" spans="2:16">
      <c r="B254" s="74" t="str">
        <f>IF(LEN(D254)&lt;10,CONCATENATE(LEFT(Inventario[[#This Row],[Área]],11),REPT(0,(10-LEN(D254))),D254),CONCATENATE(Inventario[Área],D254))</f>
        <v>1.3.4.0.0- 0000000094</v>
      </c>
      <c r="C254" s="75"/>
      <c r="D254" s="76">
        <v>94</v>
      </c>
      <c r="E254" s="77">
        <v>1</v>
      </c>
      <c r="F254" s="77" t="s">
        <v>218</v>
      </c>
      <c r="G254" s="77" t="s">
        <v>160</v>
      </c>
      <c r="H254" s="77" t="s">
        <v>219</v>
      </c>
      <c r="I254" s="81" t="s">
        <v>220</v>
      </c>
      <c r="J254" s="78" t="s">
        <v>158</v>
      </c>
      <c r="K254" s="77" t="s">
        <v>158</v>
      </c>
      <c r="L254" s="77" t="s">
        <v>6</v>
      </c>
      <c r="M254" s="86">
        <v>44347</v>
      </c>
      <c r="N254" s="77" t="s">
        <v>133</v>
      </c>
      <c r="O254" s="77" t="s">
        <v>253</v>
      </c>
      <c r="P254" s="77" t="s">
        <v>23</v>
      </c>
    </row>
    <row r="255" spans="2:16">
      <c r="B255" s="74" t="str">
        <f>IF(LEN(D255)&lt;10,CONCATENATE(LEFT(Inventario[[#This Row],[Área]],11),REPT(0,(10-LEN(D255))),D255),CONCATENATE(Inventario[Área],D255))</f>
        <v>1.3.4.0.0- 0000000093</v>
      </c>
      <c r="C255" s="75"/>
      <c r="D255" s="76">
        <v>93</v>
      </c>
      <c r="E255" s="77">
        <v>1</v>
      </c>
      <c r="F255" s="77" t="s">
        <v>175</v>
      </c>
      <c r="G255" s="77" t="s">
        <v>176</v>
      </c>
      <c r="H255" s="77" t="s">
        <v>177</v>
      </c>
      <c r="I255" s="81" t="s">
        <v>216</v>
      </c>
      <c r="J255" s="78" t="s">
        <v>158</v>
      </c>
      <c r="K255" s="77" t="s">
        <v>158</v>
      </c>
      <c r="L255" s="77" t="s">
        <v>6</v>
      </c>
      <c r="M255" s="86">
        <v>44347</v>
      </c>
      <c r="N255" s="77" t="s">
        <v>133</v>
      </c>
      <c r="O255" s="77" t="s">
        <v>253</v>
      </c>
      <c r="P255" s="77" t="s">
        <v>23</v>
      </c>
    </row>
    <row r="256" spans="2:16">
      <c r="B256" s="74" t="str">
        <f>IF(LEN(D256)&lt;10,CONCATENATE(LEFT(Inventario[[#This Row],[Área]],11),REPT(0,(10-LEN(D256))),D256),CONCATENATE(Inventario[Área],D256))</f>
        <v>1.3.4.0.0- 0000000092</v>
      </c>
      <c r="C256" s="75"/>
      <c r="D256" s="76">
        <v>92</v>
      </c>
      <c r="E256" s="77">
        <v>1</v>
      </c>
      <c r="F256" s="77" t="s">
        <v>215</v>
      </c>
      <c r="G256" s="77" t="s">
        <v>158</v>
      </c>
      <c r="H256" s="77" t="s">
        <v>158</v>
      </c>
      <c r="I256" s="81" t="s">
        <v>158</v>
      </c>
      <c r="J256" s="78" t="s">
        <v>158</v>
      </c>
      <c r="K256" s="77" t="s">
        <v>158</v>
      </c>
      <c r="L256" s="77" t="s">
        <v>6</v>
      </c>
      <c r="M256" s="86">
        <v>44347</v>
      </c>
      <c r="N256" s="77" t="s">
        <v>133</v>
      </c>
      <c r="O256" s="77" t="s">
        <v>253</v>
      </c>
      <c r="P256" s="77" t="s">
        <v>23</v>
      </c>
    </row>
    <row r="257" spans="2:16">
      <c r="B257" s="74" t="str">
        <f>IF(LEN(D257)&lt;10,CONCATENATE(LEFT(Inventario[[#This Row],[Área]],11),REPT(0,(10-LEN(D257))),D257),CONCATENATE(Inventario[Área],D257))</f>
        <v>1.3.4.0.0- 0000000091</v>
      </c>
      <c r="C257" s="75"/>
      <c r="D257" s="76">
        <v>91</v>
      </c>
      <c r="E257" s="77">
        <v>1</v>
      </c>
      <c r="F257" s="77" t="s">
        <v>214</v>
      </c>
      <c r="G257" s="77" t="s">
        <v>158</v>
      </c>
      <c r="H257" s="77" t="s">
        <v>158</v>
      </c>
      <c r="I257" s="81" t="s">
        <v>158</v>
      </c>
      <c r="J257" s="78" t="s">
        <v>158</v>
      </c>
      <c r="K257" s="77" t="s">
        <v>158</v>
      </c>
      <c r="L257" s="77" t="s">
        <v>6</v>
      </c>
      <c r="M257" s="86">
        <v>44347</v>
      </c>
      <c r="N257" s="77" t="s">
        <v>133</v>
      </c>
      <c r="O257" s="77" t="s">
        <v>253</v>
      </c>
      <c r="P257" s="77" t="s">
        <v>23</v>
      </c>
    </row>
    <row r="258" spans="2:16">
      <c r="B258" s="74" t="str">
        <f>IF(LEN(D258)&lt;10,CONCATENATE(LEFT(Inventario[[#This Row],[Área]],11),REPT(0,(10-LEN(D258))),D258),CONCATENATE(Inventario[Área],D258))</f>
        <v>1.3.4.0.0- 0000000090</v>
      </c>
      <c r="C258" s="75"/>
      <c r="D258" s="76">
        <v>90</v>
      </c>
      <c r="E258" s="77">
        <v>1</v>
      </c>
      <c r="F258" s="77" t="s">
        <v>213</v>
      </c>
      <c r="G258" s="77" t="s">
        <v>158</v>
      </c>
      <c r="H258" s="77" t="s">
        <v>158</v>
      </c>
      <c r="I258" s="81" t="s">
        <v>158</v>
      </c>
      <c r="J258" s="78" t="s">
        <v>158</v>
      </c>
      <c r="K258" s="77" t="s">
        <v>158</v>
      </c>
      <c r="L258" s="77" t="s">
        <v>6</v>
      </c>
      <c r="M258" s="86">
        <v>44347</v>
      </c>
      <c r="N258" s="77" t="s">
        <v>133</v>
      </c>
      <c r="O258" s="77" t="s">
        <v>253</v>
      </c>
      <c r="P258" s="77" t="s">
        <v>23</v>
      </c>
    </row>
    <row r="259" spans="2:16">
      <c r="B259" s="74" t="str">
        <f>IF(LEN(D259)&lt;10,CONCATENATE(LEFT(Inventario[[#This Row],[Área]],11),REPT(0,(10-LEN(D259))),D259),CONCATENATE(Inventario[Área],D259))</f>
        <v>1.3.4.0.0- 0000000089</v>
      </c>
      <c r="C259" s="75"/>
      <c r="D259" s="76">
        <v>89</v>
      </c>
      <c r="E259" s="77">
        <v>2</v>
      </c>
      <c r="F259" s="77" t="s">
        <v>212</v>
      </c>
      <c r="G259" s="77" t="s">
        <v>158</v>
      </c>
      <c r="H259" s="77" t="s">
        <v>158</v>
      </c>
      <c r="I259" s="81" t="s">
        <v>158</v>
      </c>
      <c r="J259" s="78" t="s">
        <v>158</v>
      </c>
      <c r="K259" s="77" t="s">
        <v>158</v>
      </c>
      <c r="L259" s="77" t="s">
        <v>6</v>
      </c>
      <c r="M259" s="86">
        <v>44347</v>
      </c>
      <c r="N259" s="77" t="s">
        <v>133</v>
      </c>
      <c r="O259" s="77" t="s">
        <v>253</v>
      </c>
      <c r="P259" s="77" t="s">
        <v>23</v>
      </c>
    </row>
    <row r="260" spans="2:16">
      <c r="B260" s="74" t="str">
        <f>IF(LEN(D260)&lt;10,CONCATENATE(LEFT(Inventario[[#This Row],[Área]],11),REPT(0,(10-LEN(D260))),D260),CONCATENATE(Inventario[Área],D260))</f>
        <v>1.3.4.0.0- 0000000088</v>
      </c>
      <c r="C260" s="75"/>
      <c r="D260" s="76">
        <v>88</v>
      </c>
      <c r="E260" s="77">
        <v>1</v>
      </c>
      <c r="F260" s="77" t="s">
        <v>211</v>
      </c>
      <c r="G260" s="77" t="s">
        <v>158</v>
      </c>
      <c r="H260" s="77" t="s">
        <v>158</v>
      </c>
      <c r="I260" s="81" t="s">
        <v>158</v>
      </c>
      <c r="J260" s="78" t="s">
        <v>158</v>
      </c>
      <c r="K260" s="77" t="s">
        <v>158</v>
      </c>
      <c r="L260" s="77" t="s">
        <v>6</v>
      </c>
      <c r="M260" s="86">
        <v>44347</v>
      </c>
      <c r="N260" s="77" t="s">
        <v>133</v>
      </c>
      <c r="O260" s="77" t="s">
        <v>253</v>
      </c>
      <c r="P260" s="77" t="s">
        <v>23</v>
      </c>
    </row>
    <row r="261" spans="2:16">
      <c r="B261" s="74" t="str">
        <f>IF(LEN(D261)&lt;10,CONCATENATE(LEFT(Inventario[[#This Row],[Área]],11),REPT(0,(10-LEN(D261))),D261),CONCATENATE(Inventario[Área],D261))</f>
        <v>1.3.4.0.0- 0000000087</v>
      </c>
      <c r="C261" s="75"/>
      <c r="D261" s="76">
        <v>87</v>
      </c>
      <c r="E261" s="77">
        <v>1</v>
      </c>
      <c r="F261" s="77" t="s">
        <v>210</v>
      </c>
      <c r="G261" s="77" t="s">
        <v>158</v>
      </c>
      <c r="H261" s="77" t="s">
        <v>158</v>
      </c>
      <c r="I261" s="81" t="s">
        <v>158</v>
      </c>
      <c r="J261" s="78" t="s">
        <v>158</v>
      </c>
      <c r="K261" s="77" t="s">
        <v>158</v>
      </c>
      <c r="L261" s="77" t="s">
        <v>6</v>
      </c>
      <c r="M261" s="86">
        <v>44347</v>
      </c>
      <c r="N261" s="77" t="s">
        <v>133</v>
      </c>
      <c r="O261" s="77" t="s">
        <v>253</v>
      </c>
      <c r="P261" s="77" t="s">
        <v>23</v>
      </c>
    </row>
    <row r="262" spans="2:16">
      <c r="B262" s="74" t="str">
        <f>IF(LEN(D262)&lt;10,CONCATENATE(LEFT(Inventario[[#This Row],[Área]],11),REPT(0,(10-LEN(D262))),D262),CONCATENATE(Inventario[Área],D262))</f>
        <v>1.3.4.0.0- 0000000086</v>
      </c>
      <c r="C262" s="75"/>
      <c r="D262" s="76">
        <v>86</v>
      </c>
      <c r="E262" s="77">
        <v>1</v>
      </c>
      <c r="F262" s="77" t="s">
        <v>209</v>
      </c>
      <c r="G262" s="77" t="s">
        <v>158</v>
      </c>
      <c r="H262" s="77" t="s">
        <v>158</v>
      </c>
      <c r="I262" s="81" t="s">
        <v>158</v>
      </c>
      <c r="J262" s="78" t="s">
        <v>158</v>
      </c>
      <c r="K262" s="77" t="s">
        <v>158</v>
      </c>
      <c r="L262" s="77" t="s">
        <v>6</v>
      </c>
      <c r="M262" s="86">
        <v>44347</v>
      </c>
      <c r="N262" s="77" t="s">
        <v>133</v>
      </c>
      <c r="O262" s="77" t="s">
        <v>253</v>
      </c>
      <c r="P262" s="77" t="s">
        <v>23</v>
      </c>
    </row>
    <row r="263" spans="2:16">
      <c r="B263" s="74" t="str">
        <f>IF(LEN(D263)&lt;10,CONCATENATE(LEFT(Inventario[[#This Row],[Área]],11),REPT(0,(10-LEN(D263))),D263),CONCATENATE(Inventario[Área],D263))</f>
        <v>1.3.4.0.0- 0000000085</v>
      </c>
      <c r="C263" s="75"/>
      <c r="D263" s="76">
        <v>85</v>
      </c>
      <c r="E263" s="77">
        <v>1</v>
      </c>
      <c r="F263" s="77" t="s">
        <v>209</v>
      </c>
      <c r="G263" s="77" t="s">
        <v>158</v>
      </c>
      <c r="H263" s="77" t="s">
        <v>158</v>
      </c>
      <c r="I263" s="81" t="s">
        <v>158</v>
      </c>
      <c r="J263" s="78" t="s">
        <v>158</v>
      </c>
      <c r="K263" s="77" t="s">
        <v>158</v>
      </c>
      <c r="L263" s="77" t="s">
        <v>6</v>
      </c>
      <c r="M263" s="86">
        <v>44347</v>
      </c>
      <c r="N263" s="77" t="s">
        <v>133</v>
      </c>
      <c r="O263" s="77" t="s">
        <v>253</v>
      </c>
      <c r="P263" s="77" t="s">
        <v>23</v>
      </c>
    </row>
    <row r="264" spans="2:16">
      <c r="B264" s="74" t="str">
        <f>IF(LEN(D264)&lt;10,CONCATENATE(LEFT(Inventario[[#This Row],[Área]],11),REPT(0,(10-LEN(D264))),D264),CONCATENATE(Inventario[Área],D264))</f>
        <v>1.3.4.0.0- 0000000084</v>
      </c>
      <c r="C264" s="75"/>
      <c r="D264" s="76">
        <v>84</v>
      </c>
      <c r="E264" s="77">
        <v>1</v>
      </c>
      <c r="F264" s="77" t="s">
        <v>206</v>
      </c>
      <c r="G264" s="77" t="s">
        <v>160</v>
      </c>
      <c r="H264" s="77" t="s">
        <v>207</v>
      </c>
      <c r="I264" s="81" t="s">
        <v>208</v>
      </c>
      <c r="J264" s="78" t="s">
        <v>158</v>
      </c>
      <c r="K264" s="77" t="s">
        <v>158</v>
      </c>
      <c r="L264" s="77" t="s">
        <v>6</v>
      </c>
      <c r="M264" s="86">
        <v>44347</v>
      </c>
      <c r="N264" s="77" t="s">
        <v>133</v>
      </c>
      <c r="O264" s="77" t="s">
        <v>253</v>
      </c>
      <c r="P264" s="77" t="s">
        <v>23</v>
      </c>
    </row>
    <row r="265" spans="2:16">
      <c r="B265" s="74" t="str">
        <f>IF(LEN(D265)&lt;10,CONCATENATE(LEFT(Inventario[[#This Row],[Área]],11),REPT(0,(10-LEN(D265))),D265),CONCATENATE(Inventario[Área],D265))</f>
        <v>1.3.4.0.0- 0000000083</v>
      </c>
      <c r="C265" s="75"/>
      <c r="D265" s="76">
        <v>83</v>
      </c>
      <c r="E265" s="77">
        <v>3</v>
      </c>
      <c r="F265" s="77" t="s">
        <v>205</v>
      </c>
      <c r="G265" s="77" t="s">
        <v>158</v>
      </c>
      <c r="H265" s="77" t="s">
        <v>158</v>
      </c>
      <c r="I265" s="81" t="s">
        <v>158</v>
      </c>
      <c r="J265" s="78" t="s">
        <v>158</v>
      </c>
      <c r="K265" s="77" t="s">
        <v>158</v>
      </c>
      <c r="L265" s="77" t="s">
        <v>6</v>
      </c>
      <c r="M265" s="86">
        <v>44347</v>
      </c>
      <c r="N265" s="77" t="s">
        <v>133</v>
      </c>
      <c r="O265" s="77" t="s">
        <v>253</v>
      </c>
      <c r="P265" s="77" t="s">
        <v>23</v>
      </c>
    </row>
    <row r="266" spans="2:16">
      <c r="B266" s="74" t="str">
        <f>IF(LEN(D266)&lt;10,CONCATENATE(LEFT(Inventario[[#This Row],[Área]],11),REPT(0,(10-LEN(D266))),D266),CONCATENATE(Inventario[Área],D266))</f>
        <v>1.3.4.0.0- 0000000082</v>
      </c>
      <c r="C266" s="75"/>
      <c r="D266" s="76">
        <v>82</v>
      </c>
      <c r="E266" s="77">
        <v>1</v>
      </c>
      <c r="F266" s="77" t="s">
        <v>181</v>
      </c>
      <c r="G266" s="77" t="s">
        <v>156</v>
      </c>
      <c r="H266" s="77" t="s">
        <v>252</v>
      </c>
      <c r="I266" s="81" t="s">
        <v>158</v>
      </c>
      <c r="J266" s="78" t="s">
        <v>158</v>
      </c>
      <c r="K266" s="77" t="s">
        <v>158</v>
      </c>
      <c r="L266" s="77" t="s">
        <v>6</v>
      </c>
      <c r="M266" s="86">
        <v>44348</v>
      </c>
      <c r="N266" s="77" t="s">
        <v>133</v>
      </c>
      <c r="O266" s="77" t="s">
        <v>154</v>
      </c>
      <c r="P266" s="77" t="s">
        <v>23</v>
      </c>
    </row>
    <row r="267" spans="2:16">
      <c r="B267" s="74" t="str">
        <f>IF(LEN(D267)&lt;10,CONCATENATE(LEFT(Inventario[[#This Row],[Área]],11),REPT(0,(10-LEN(D267))),D267),CONCATENATE(Inventario[Área],D267))</f>
        <v>1.3.4.0.0- 0000000081</v>
      </c>
      <c r="C267" s="75"/>
      <c r="D267" s="76">
        <v>81</v>
      </c>
      <c r="E267" s="77">
        <v>1</v>
      </c>
      <c r="F267" s="77" t="s">
        <v>248</v>
      </c>
      <c r="G267" s="77" t="s">
        <v>249</v>
      </c>
      <c r="H267" s="77" t="s">
        <v>250</v>
      </c>
      <c r="I267" s="81" t="s">
        <v>251</v>
      </c>
      <c r="J267" s="78" t="s">
        <v>158</v>
      </c>
      <c r="K267" s="77" t="s">
        <v>158</v>
      </c>
      <c r="L267" s="77" t="s">
        <v>6</v>
      </c>
      <c r="M267" s="86">
        <v>44348</v>
      </c>
      <c r="N267" s="77" t="s">
        <v>133</v>
      </c>
      <c r="O267" s="77" t="s">
        <v>154</v>
      </c>
      <c r="P267" s="77" t="s">
        <v>23</v>
      </c>
    </row>
    <row r="268" spans="2:16">
      <c r="B268" s="74" t="str">
        <f>IF(LEN(D268)&lt;10,CONCATENATE(LEFT(Inventario[[#This Row],[Área]],11),REPT(0,(10-LEN(D268))),D268),CONCATENATE(Inventario[Área],D268))</f>
        <v>1.3.4.0.0- 0000000080</v>
      </c>
      <c r="C268" s="75"/>
      <c r="D268" s="76">
        <v>80</v>
      </c>
      <c r="E268" s="77">
        <v>1</v>
      </c>
      <c r="F268" s="77" t="s">
        <v>181</v>
      </c>
      <c r="G268" s="77" t="s">
        <v>156</v>
      </c>
      <c r="H268" s="77" t="s">
        <v>247</v>
      </c>
      <c r="I268" s="81" t="s">
        <v>158</v>
      </c>
      <c r="J268" s="78" t="s">
        <v>158</v>
      </c>
      <c r="K268" s="77" t="s">
        <v>158</v>
      </c>
      <c r="L268" s="77" t="s">
        <v>6</v>
      </c>
      <c r="M268" s="86">
        <v>44348</v>
      </c>
      <c r="N268" s="77" t="s">
        <v>133</v>
      </c>
      <c r="O268" s="77" t="s">
        <v>154</v>
      </c>
      <c r="P268" s="77" t="s">
        <v>23</v>
      </c>
    </row>
    <row r="269" spans="2:16">
      <c r="B269" s="74" t="str">
        <f>IF(LEN(D269)&lt;10,CONCATENATE(LEFT(Inventario[[#This Row],[Área]],11),REPT(0,(10-LEN(D269))),D269),CONCATENATE(Inventario[Área],D269))</f>
        <v>1.3.4.0.0- 0000000079</v>
      </c>
      <c r="C269" s="75"/>
      <c r="D269" s="76">
        <v>79</v>
      </c>
      <c r="E269" s="77">
        <v>1</v>
      </c>
      <c r="F269" s="77" t="s">
        <v>245</v>
      </c>
      <c r="G269" s="77" t="s">
        <v>246</v>
      </c>
      <c r="H269" s="77" t="s">
        <v>158</v>
      </c>
      <c r="I269" s="81" t="s">
        <v>158</v>
      </c>
      <c r="J269" s="78" t="s">
        <v>158</v>
      </c>
      <c r="K269" s="77" t="s">
        <v>158</v>
      </c>
      <c r="L269" s="77" t="s">
        <v>6</v>
      </c>
      <c r="M269" s="86">
        <v>44348</v>
      </c>
      <c r="N269" s="77" t="s">
        <v>133</v>
      </c>
      <c r="O269" s="77" t="s">
        <v>154</v>
      </c>
      <c r="P269" s="77" t="s">
        <v>23</v>
      </c>
    </row>
    <row r="270" spans="2:16">
      <c r="B270" s="74" t="str">
        <f>IF(LEN(D270)&lt;10,CONCATENATE(LEFT(Inventario[[#This Row],[Área]],11),REPT(0,(10-LEN(D270))),D270),CONCATENATE(Inventario[Área],D270))</f>
        <v>1.3.4.0.0- 0000000078</v>
      </c>
      <c r="C270" s="75"/>
      <c r="D270" s="76">
        <v>78</v>
      </c>
      <c r="E270" s="77">
        <v>1</v>
      </c>
      <c r="F270" s="77" t="s">
        <v>241</v>
      </c>
      <c r="G270" s="77" t="s">
        <v>242</v>
      </c>
      <c r="H270" s="77" t="s">
        <v>243</v>
      </c>
      <c r="I270" s="81">
        <v>221811502115</v>
      </c>
      <c r="J270" s="78" t="s">
        <v>158</v>
      </c>
      <c r="K270" s="77" t="s">
        <v>158</v>
      </c>
      <c r="L270" s="77" t="s">
        <v>6</v>
      </c>
      <c r="M270" s="86">
        <v>44348</v>
      </c>
      <c r="N270" s="77" t="s">
        <v>133</v>
      </c>
      <c r="O270" s="77" t="s">
        <v>154</v>
      </c>
      <c r="P270" s="77" t="s">
        <v>23</v>
      </c>
    </row>
    <row r="271" spans="2:16">
      <c r="B271" s="74" t="str">
        <f>IF(LEN(D271)&lt;10,CONCATENATE(LEFT(Inventario[[#This Row],[Área]],11),REPT(0,(10-LEN(D271))),D271),CONCATENATE(Inventario[Área],D271))</f>
        <v>1.3.4.0.0- 0000000077</v>
      </c>
      <c r="C271" s="75"/>
      <c r="D271" s="76">
        <v>77</v>
      </c>
      <c r="E271" s="77">
        <v>1</v>
      </c>
      <c r="F271" s="77" t="s">
        <v>241</v>
      </c>
      <c r="G271" s="77" t="s">
        <v>242</v>
      </c>
      <c r="H271" s="77" t="s">
        <v>243</v>
      </c>
      <c r="I271" s="81" t="s">
        <v>244</v>
      </c>
      <c r="J271" s="78" t="s">
        <v>158</v>
      </c>
      <c r="K271" s="77" t="s">
        <v>158</v>
      </c>
      <c r="L271" s="77" t="s">
        <v>6</v>
      </c>
      <c r="M271" s="86">
        <v>44348</v>
      </c>
      <c r="N271" s="77" t="s">
        <v>133</v>
      </c>
      <c r="O271" s="77" t="s">
        <v>154</v>
      </c>
      <c r="P271" s="77" t="s">
        <v>23</v>
      </c>
    </row>
    <row r="272" spans="2:16">
      <c r="B272" s="74" t="str">
        <f>IF(LEN(D272)&lt;10,CONCATENATE(LEFT(Inventario[[#This Row],[Área]],11),REPT(0,(10-LEN(D272))),D272),CONCATENATE(Inventario[Área],D272))</f>
        <v>1.3.4.0.0- 0000000076</v>
      </c>
      <c r="C272" s="75"/>
      <c r="D272" s="76">
        <v>76</v>
      </c>
      <c r="E272" s="77">
        <v>1</v>
      </c>
      <c r="F272" s="77" t="s">
        <v>240</v>
      </c>
      <c r="G272" s="77" t="s">
        <v>238</v>
      </c>
      <c r="H272" s="77" t="s">
        <v>158</v>
      </c>
      <c r="I272" s="81" t="s">
        <v>158</v>
      </c>
      <c r="J272" s="78" t="s">
        <v>158</v>
      </c>
      <c r="K272" s="77" t="s">
        <v>158</v>
      </c>
      <c r="L272" s="77" t="s">
        <v>6</v>
      </c>
      <c r="M272" s="86">
        <v>44348</v>
      </c>
      <c r="N272" s="77" t="s">
        <v>133</v>
      </c>
      <c r="O272" s="77" t="s">
        <v>154</v>
      </c>
      <c r="P272" s="77" t="s">
        <v>23</v>
      </c>
    </row>
    <row r="273" spans="2:16">
      <c r="B273" s="74" t="str">
        <f>IF(LEN(D273)&lt;10,CONCATENATE(LEFT(Inventario[[#This Row],[Área]],11),REPT(0,(10-LEN(D273))),D273),CONCATENATE(Inventario[Área],D273))</f>
        <v>1.3.4.0.0- 0000000075</v>
      </c>
      <c r="C273" s="75"/>
      <c r="D273" s="76">
        <v>75</v>
      </c>
      <c r="E273" s="77">
        <v>1</v>
      </c>
      <c r="F273" s="77" t="s">
        <v>237</v>
      </c>
      <c r="G273" s="77" t="s">
        <v>238</v>
      </c>
      <c r="H273" s="77" t="s">
        <v>239</v>
      </c>
      <c r="I273" s="81" t="s">
        <v>158</v>
      </c>
      <c r="J273" s="78" t="s">
        <v>158</v>
      </c>
      <c r="K273" s="77" t="s">
        <v>158</v>
      </c>
      <c r="L273" s="77" t="s">
        <v>6</v>
      </c>
      <c r="M273" s="86">
        <v>44348</v>
      </c>
      <c r="N273" s="77" t="s">
        <v>133</v>
      </c>
      <c r="O273" s="77" t="s">
        <v>154</v>
      </c>
      <c r="P273" s="77" t="s">
        <v>23</v>
      </c>
    </row>
    <row r="274" spans="2:16">
      <c r="B274" s="74" t="str">
        <f>IF(LEN(D274)&lt;10,CONCATENATE(LEFT(Inventario[[#This Row],[Área]],11),REPT(0,(10-LEN(D274))),D274),CONCATENATE(Inventario[Área],D274))</f>
        <v>1.3.4.0.0- 0000000074</v>
      </c>
      <c r="C274" s="75"/>
      <c r="D274" s="76">
        <v>74</v>
      </c>
      <c r="E274" s="77">
        <v>1</v>
      </c>
      <c r="F274" s="77" t="s">
        <v>233</v>
      </c>
      <c r="G274" s="77" t="s">
        <v>234</v>
      </c>
      <c r="H274" s="77" t="s">
        <v>235</v>
      </c>
      <c r="I274" s="81" t="s">
        <v>236</v>
      </c>
      <c r="J274" s="78" t="s">
        <v>158</v>
      </c>
      <c r="K274" s="77" t="s">
        <v>158</v>
      </c>
      <c r="L274" s="77" t="s">
        <v>6</v>
      </c>
      <c r="M274" s="86">
        <v>44348</v>
      </c>
      <c r="N274" s="77" t="s">
        <v>133</v>
      </c>
      <c r="O274" s="77" t="s">
        <v>154</v>
      </c>
      <c r="P274" s="77" t="s">
        <v>23</v>
      </c>
    </row>
    <row r="275" spans="2:16">
      <c r="B275" s="74" t="str">
        <f>IF(LEN(D275)&lt;10,CONCATENATE(LEFT(Inventario[[#This Row],[Área]],11),REPT(0,(10-LEN(D275))),D275),CONCATENATE(Inventario[Área],D275))</f>
        <v>1.3.4.0.0- 0000000073</v>
      </c>
      <c r="C275" s="75"/>
      <c r="D275" s="76">
        <v>73</v>
      </c>
      <c r="E275" s="77">
        <v>1</v>
      </c>
      <c r="F275" s="77" t="s">
        <v>229</v>
      </c>
      <c r="G275" s="77" t="s">
        <v>230</v>
      </c>
      <c r="H275" s="77" t="s">
        <v>231</v>
      </c>
      <c r="I275" s="81" t="s">
        <v>232</v>
      </c>
      <c r="J275" s="78" t="s">
        <v>158</v>
      </c>
      <c r="K275" s="77" t="s">
        <v>158</v>
      </c>
      <c r="L275" s="77" t="s">
        <v>6</v>
      </c>
      <c r="M275" s="86">
        <v>44348</v>
      </c>
      <c r="N275" s="77" t="s">
        <v>133</v>
      </c>
      <c r="O275" s="77" t="s">
        <v>154</v>
      </c>
      <c r="P275" s="77" t="s">
        <v>23</v>
      </c>
    </row>
    <row r="276" spans="2:16">
      <c r="B276" s="74" t="str">
        <f>IF(LEN(D276)&lt;10,CONCATENATE(LEFT(Inventario[[#This Row],[Área]],11),REPT(0,(10-LEN(D276))),D276),CONCATENATE(Inventario[Área],D276))</f>
        <v>1.3.4.0.0- 0000000072</v>
      </c>
      <c r="C276" s="75"/>
      <c r="D276" s="76">
        <v>72</v>
      </c>
      <c r="E276" s="77">
        <v>1</v>
      </c>
      <c r="F276" s="77" t="s">
        <v>226</v>
      </c>
      <c r="G276" s="77" t="s">
        <v>227</v>
      </c>
      <c r="H276" s="77">
        <v>1500</v>
      </c>
      <c r="I276" s="81" t="s">
        <v>228</v>
      </c>
      <c r="J276" s="78" t="s">
        <v>158</v>
      </c>
      <c r="K276" s="77" t="s">
        <v>158</v>
      </c>
      <c r="L276" s="77" t="s">
        <v>6</v>
      </c>
      <c r="M276" s="86">
        <v>44348</v>
      </c>
      <c r="N276" s="77" t="s">
        <v>133</v>
      </c>
      <c r="O276" s="77" t="s">
        <v>154</v>
      </c>
      <c r="P276" s="77" t="s">
        <v>23</v>
      </c>
    </row>
    <row r="277" spans="2:16">
      <c r="B277" s="74" t="str">
        <f>IF(LEN(D277)&lt;10,CONCATENATE(LEFT(Inventario[[#This Row],[Área]],11),REPT(0,(10-LEN(D277))),D277),CONCATENATE(Inventario[Área],D277))</f>
        <v>1.3.4.0.0- 0000000071</v>
      </c>
      <c r="C277" s="75"/>
      <c r="D277" s="76">
        <v>71</v>
      </c>
      <c r="E277" s="77">
        <v>1</v>
      </c>
      <c r="F277" s="77" t="s">
        <v>223</v>
      </c>
      <c r="G277" s="77" t="s">
        <v>224</v>
      </c>
      <c r="H277" s="77" t="s">
        <v>225</v>
      </c>
      <c r="I277" s="81" t="s">
        <v>222</v>
      </c>
      <c r="J277" s="78" t="s">
        <v>158</v>
      </c>
      <c r="K277" s="77" t="s">
        <v>158</v>
      </c>
      <c r="L277" s="77" t="s">
        <v>6</v>
      </c>
      <c r="M277" s="86">
        <v>44348</v>
      </c>
      <c r="N277" s="77" t="s">
        <v>133</v>
      </c>
      <c r="O277" s="77" t="s">
        <v>154</v>
      </c>
      <c r="P277" s="77" t="s">
        <v>23</v>
      </c>
    </row>
    <row r="278" spans="2:16">
      <c r="B278" s="74" t="str">
        <f>IF(LEN(D278)&lt;10,CONCATENATE(LEFT(Inventario[[#This Row],[Área]],11),REPT(0,(10-LEN(D278))),D278),CONCATENATE(Inventario[Área],D278))</f>
        <v>1.3.4.0.0- 0000000070</v>
      </c>
      <c r="C278" s="75"/>
      <c r="D278" s="76">
        <v>70</v>
      </c>
      <c r="E278" s="77">
        <v>1</v>
      </c>
      <c r="F278" s="77" t="s">
        <v>218</v>
      </c>
      <c r="G278" s="77" t="s">
        <v>160</v>
      </c>
      <c r="H278" s="77" t="s">
        <v>221</v>
      </c>
      <c r="I278" s="81" t="s">
        <v>222</v>
      </c>
      <c r="J278" s="78" t="s">
        <v>158</v>
      </c>
      <c r="K278" s="77" t="s">
        <v>158</v>
      </c>
      <c r="L278" s="77" t="s">
        <v>6</v>
      </c>
      <c r="M278" s="86">
        <v>44348</v>
      </c>
      <c r="N278" s="77" t="s">
        <v>133</v>
      </c>
      <c r="O278" s="77" t="s">
        <v>154</v>
      </c>
      <c r="P278" s="77" t="s">
        <v>23</v>
      </c>
    </row>
    <row r="279" spans="2:16">
      <c r="B279" s="74" t="str">
        <f>IF(LEN(D279)&lt;10,CONCATENATE(LEFT(Inventario[[#This Row],[Área]],11),REPT(0,(10-LEN(D279))),D279),CONCATENATE(Inventario[Área],D279))</f>
        <v>1.3.4.0.0- 0000000069</v>
      </c>
      <c r="C279" s="75"/>
      <c r="D279" s="76">
        <v>69</v>
      </c>
      <c r="E279" s="77">
        <v>1</v>
      </c>
      <c r="F279" s="77" t="s">
        <v>218</v>
      </c>
      <c r="G279" s="77" t="s">
        <v>160</v>
      </c>
      <c r="H279" s="77" t="s">
        <v>219</v>
      </c>
      <c r="I279" s="81" t="s">
        <v>220</v>
      </c>
      <c r="J279" s="78" t="s">
        <v>158</v>
      </c>
      <c r="K279" s="77" t="s">
        <v>158</v>
      </c>
      <c r="L279" s="77" t="s">
        <v>6</v>
      </c>
      <c r="M279" s="86">
        <v>44348</v>
      </c>
      <c r="N279" s="77" t="s">
        <v>133</v>
      </c>
      <c r="O279" s="77" t="s">
        <v>154</v>
      </c>
      <c r="P279" s="77" t="s">
        <v>23</v>
      </c>
    </row>
    <row r="280" spans="2:16">
      <c r="B280" s="74" t="str">
        <f>IF(LEN(D280)&lt;10,CONCATENATE(LEFT(Inventario[[#This Row],[Área]],11),REPT(0,(10-LEN(D280))),D280),CONCATENATE(Inventario[Área],D280))</f>
        <v>1.3.4.0.0- 0000000068</v>
      </c>
      <c r="C280" s="75"/>
      <c r="D280" s="76">
        <v>68</v>
      </c>
      <c r="E280" s="77">
        <v>1</v>
      </c>
      <c r="F280" s="77" t="s">
        <v>217</v>
      </c>
      <c r="G280" s="77" t="s">
        <v>158</v>
      </c>
      <c r="H280" s="77" t="s">
        <v>158</v>
      </c>
      <c r="I280" s="81" t="s">
        <v>158</v>
      </c>
      <c r="J280" s="78" t="s">
        <v>158</v>
      </c>
      <c r="K280" s="77" t="s">
        <v>158</v>
      </c>
      <c r="L280" s="77" t="s">
        <v>6</v>
      </c>
      <c r="M280" s="86">
        <v>44348</v>
      </c>
      <c r="N280" s="77" t="s">
        <v>133</v>
      </c>
      <c r="O280" s="77" t="s">
        <v>154</v>
      </c>
      <c r="P280" s="77" t="s">
        <v>23</v>
      </c>
    </row>
    <row r="281" spans="2:16">
      <c r="B281" s="74" t="str">
        <f>IF(LEN(D281)&lt;10,CONCATENATE(LEFT(Inventario[[#This Row],[Área]],11),REPT(0,(10-LEN(D281))),D281),CONCATENATE(Inventario[Área],D281))</f>
        <v>1.3.4.0.0- 0000000067</v>
      </c>
      <c r="C281" s="75"/>
      <c r="D281" s="76">
        <v>67</v>
      </c>
      <c r="E281" s="77">
        <v>1</v>
      </c>
      <c r="F281" s="77" t="s">
        <v>175</v>
      </c>
      <c r="G281" s="77" t="s">
        <v>176</v>
      </c>
      <c r="H281" s="77" t="s">
        <v>177</v>
      </c>
      <c r="I281" s="81" t="s">
        <v>216</v>
      </c>
      <c r="J281" s="78" t="s">
        <v>158</v>
      </c>
      <c r="K281" s="77" t="s">
        <v>158</v>
      </c>
      <c r="L281" s="77" t="s">
        <v>6</v>
      </c>
      <c r="M281" s="86">
        <v>44348</v>
      </c>
      <c r="N281" s="77" t="s">
        <v>133</v>
      </c>
      <c r="O281" s="77" t="s">
        <v>154</v>
      </c>
      <c r="P281" s="77" t="s">
        <v>23</v>
      </c>
    </row>
    <row r="282" spans="2:16">
      <c r="B282" s="74" t="str">
        <f>IF(LEN(D282)&lt;10,CONCATENATE(LEFT(Inventario[[#This Row],[Área]],11),REPT(0,(10-LEN(D282))),D282),CONCATENATE(Inventario[Área],D282))</f>
        <v>1.3.4.0.0- 0000000066</v>
      </c>
      <c r="C282" s="75"/>
      <c r="D282" s="76">
        <v>66</v>
      </c>
      <c r="E282" s="77">
        <v>1</v>
      </c>
      <c r="F282" s="77" t="s">
        <v>215</v>
      </c>
      <c r="G282" s="77" t="s">
        <v>158</v>
      </c>
      <c r="H282" s="77" t="s">
        <v>158</v>
      </c>
      <c r="I282" s="81" t="s">
        <v>158</v>
      </c>
      <c r="J282" s="78" t="s">
        <v>158</v>
      </c>
      <c r="K282" s="77" t="s">
        <v>158</v>
      </c>
      <c r="L282" s="77" t="s">
        <v>6</v>
      </c>
      <c r="M282" s="86">
        <v>44348</v>
      </c>
      <c r="N282" s="77" t="s">
        <v>133</v>
      </c>
      <c r="O282" s="77" t="s">
        <v>154</v>
      </c>
      <c r="P282" s="77" t="s">
        <v>23</v>
      </c>
    </row>
    <row r="283" spans="2:16">
      <c r="B283" s="74" t="str">
        <f>IF(LEN(D283)&lt;10,CONCATENATE(LEFT(Inventario[[#This Row],[Área]],11),REPT(0,(10-LEN(D283))),D283),CONCATENATE(Inventario[Área],D283))</f>
        <v>1.3.4.0.0- 0000000065</v>
      </c>
      <c r="C283" s="75"/>
      <c r="D283" s="76">
        <v>65</v>
      </c>
      <c r="E283" s="77">
        <v>1</v>
      </c>
      <c r="F283" s="77" t="s">
        <v>214</v>
      </c>
      <c r="G283" s="77" t="s">
        <v>158</v>
      </c>
      <c r="H283" s="77" t="s">
        <v>158</v>
      </c>
      <c r="I283" s="81" t="s">
        <v>158</v>
      </c>
      <c r="J283" s="78" t="s">
        <v>158</v>
      </c>
      <c r="K283" s="77" t="s">
        <v>158</v>
      </c>
      <c r="L283" s="77" t="s">
        <v>6</v>
      </c>
      <c r="M283" s="86">
        <v>44348</v>
      </c>
      <c r="N283" s="77" t="s">
        <v>133</v>
      </c>
      <c r="O283" s="77" t="s">
        <v>154</v>
      </c>
      <c r="P283" s="77" t="s">
        <v>23</v>
      </c>
    </row>
    <row r="284" spans="2:16">
      <c r="B284" s="74" t="str">
        <f>IF(LEN(D284)&lt;10,CONCATENATE(LEFT(Inventario[[#This Row],[Área]],11),REPT(0,(10-LEN(D284))),D284),CONCATENATE(Inventario[Área],D284))</f>
        <v>1.3.4.0.0- 0000000064</v>
      </c>
      <c r="C284" s="75"/>
      <c r="D284" s="76">
        <v>64</v>
      </c>
      <c r="E284" s="77">
        <v>1</v>
      </c>
      <c r="F284" s="77" t="s">
        <v>213</v>
      </c>
      <c r="G284" s="77" t="s">
        <v>158</v>
      </c>
      <c r="H284" s="77" t="s">
        <v>158</v>
      </c>
      <c r="I284" s="81" t="s">
        <v>158</v>
      </c>
      <c r="J284" s="78" t="s">
        <v>158</v>
      </c>
      <c r="K284" s="77" t="s">
        <v>158</v>
      </c>
      <c r="L284" s="77" t="s">
        <v>6</v>
      </c>
      <c r="M284" s="86">
        <v>44348</v>
      </c>
      <c r="N284" s="77" t="s">
        <v>133</v>
      </c>
      <c r="O284" s="77" t="s">
        <v>154</v>
      </c>
      <c r="P284" s="77" t="s">
        <v>23</v>
      </c>
    </row>
    <row r="285" spans="2:16">
      <c r="B285" s="74" t="str">
        <f>IF(LEN(D285)&lt;10,CONCATENATE(LEFT(Inventario[[#This Row],[Área]],11),REPT(0,(10-LEN(D285))),D285),CONCATENATE(Inventario[Área],D285))</f>
        <v>1.3.4.0.0- 0000000063</v>
      </c>
      <c r="C285" s="75"/>
      <c r="D285" s="76">
        <v>63</v>
      </c>
      <c r="E285" s="77">
        <v>2</v>
      </c>
      <c r="F285" s="77" t="s">
        <v>212</v>
      </c>
      <c r="G285" s="77" t="s">
        <v>158</v>
      </c>
      <c r="H285" s="77" t="s">
        <v>158</v>
      </c>
      <c r="I285" s="81" t="s">
        <v>158</v>
      </c>
      <c r="J285" s="78" t="s">
        <v>158</v>
      </c>
      <c r="K285" s="77" t="s">
        <v>158</v>
      </c>
      <c r="L285" s="77" t="s">
        <v>6</v>
      </c>
      <c r="M285" s="86">
        <v>44348</v>
      </c>
      <c r="N285" s="77" t="s">
        <v>133</v>
      </c>
      <c r="O285" s="77" t="s">
        <v>154</v>
      </c>
      <c r="P285" s="77" t="s">
        <v>23</v>
      </c>
    </row>
    <row r="286" spans="2:16">
      <c r="B286" s="74" t="str">
        <f>IF(LEN(D286)&lt;10,CONCATENATE(LEFT(Inventario[[#This Row],[Área]],11),REPT(0,(10-LEN(D286))),D286),CONCATENATE(Inventario[Área],D286))</f>
        <v>1.3.4.0.0- 0000000062</v>
      </c>
      <c r="C286" s="75"/>
      <c r="D286" s="76">
        <v>62</v>
      </c>
      <c r="E286" s="77">
        <v>1</v>
      </c>
      <c r="F286" s="77" t="s">
        <v>211</v>
      </c>
      <c r="G286" s="77" t="s">
        <v>158</v>
      </c>
      <c r="H286" s="77" t="s">
        <v>158</v>
      </c>
      <c r="I286" s="81" t="s">
        <v>158</v>
      </c>
      <c r="J286" s="78" t="s">
        <v>158</v>
      </c>
      <c r="K286" s="77" t="s">
        <v>158</v>
      </c>
      <c r="L286" s="77" t="s">
        <v>6</v>
      </c>
      <c r="M286" s="86">
        <v>44348</v>
      </c>
      <c r="N286" s="77" t="s">
        <v>133</v>
      </c>
      <c r="O286" s="77" t="s">
        <v>154</v>
      </c>
      <c r="P286" s="77" t="s">
        <v>23</v>
      </c>
    </row>
    <row r="287" spans="2:16">
      <c r="B287" s="74" t="str">
        <f>IF(LEN(D287)&lt;10,CONCATENATE(LEFT(Inventario[[#This Row],[Área]],11),REPT(0,(10-LEN(D287))),D287),CONCATENATE(Inventario[Área],D287))</f>
        <v>1.3.4.0.0- 0000000061</v>
      </c>
      <c r="C287" s="75"/>
      <c r="D287" s="76">
        <v>61</v>
      </c>
      <c r="E287" s="77">
        <v>1</v>
      </c>
      <c r="F287" s="77" t="s">
        <v>210</v>
      </c>
      <c r="G287" s="77" t="s">
        <v>158</v>
      </c>
      <c r="H287" s="77" t="s">
        <v>158</v>
      </c>
      <c r="I287" s="81" t="s">
        <v>158</v>
      </c>
      <c r="J287" s="78" t="s">
        <v>158</v>
      </c>
      <c r="K287" s="77" t="s">
        <v>158</v>
      </c>
      <c r="L287" s="77" t="s">
        <v>6</v>
      </c>
      <c r="M287" s="86">
        <v>44348</v>
      </c>
      <c r="N287" s="77" t="s">
        <v>133</v>
      </c>
      <c r="O287" s="77" t="s">
        <v>154</v>
      </c>
      <c r="P287" s="77" t="s">
        <v>23</v>
      </c>
    </row>
    <row r="288" spans="2:16">
      <c r="B288" s="74" t="str">
        <f>IF(LEN(D288)&lt;10,CONCATENATE(LEFT(Inventario[[#This Row],[Área]],11),REPT(0,(10-LEN(D288))),D288),CONCATENATE(Inventario[Área],D288))</f>
        <v>1.3.4.0.0- 0000000060</v>
      </c>
      <c r="C288" s="75"/>
      <c r="D288" s="76">
        <v>60</v>
      </c>
      <c r="E288" s="77">
        <v>1</v>
      </c>
      <c r="F288" s="77" t="s">
        <v>209</v>
      </c>
      <c r="G288" s="77" t="s">
        <v>158</v>
      </c>
      <c r="H288" s="77" t="s">
        <v>158</v>
      </c>
      <c r="I288" s="81" t="s">
        <v>158</v>
      </c>
      <c r="J288" s="78" t="s">
        <v>158</v>
      </c>
      <c r="K288" s="77" t="s">
        <v>158</v>
      </c>
      <c r="L288" s="77" t="s">
        <v>6</v>
      </c>
      <c r="M288" s="86">
        <v>44348</v>
      </c>
      <c r="N288" s="77" t="s">
        <v>133</v>
      </c>
      <c r="O288" s="77" t="s">
        <v>154</v>
      </c>
      <c r="P288" s="77" t="s">
        <v>23</v>
      </c>
    </row>
    <row r="289" spans="2:16">
      <c r="B289" s="74" t="str">
        <f>IF(LEN(D289)&lt;10,CONCATENATE(LEFT(Inventario[[#This Row],[Área]],11),REPT(0,(10-LEN(D289))),D289),CONCATENATE(Inventario[Área],D289))</f>
        <v>1.3.4.0.0- 0000000059</v>
      </c>
      <c r="C289" s="75"/>
      <c r="D289" s="76">
        <v>59</v>
      </c>
      <c r="E289" s="77">
        <v>1</v>
      </c>
      <c r="F289" s="77" t="s">
        <v>209</v>
      </c>
      <c r="G289" s="77" t="s">
        <v>158</v>
      </c>
      <c r="H289" s="77" t="s">
        <v>158</v>
      </c>
      <c r="I289" s="81" t="s">
        <v>158</v>
      </c>
      <c r="J289" s="78" t="s">
        <v>158</v>
      </c>
      <c r="K289" s="77" t="s">
        <v>158</v>
      </c>
      <c r="L289" s="77" t="s">
        <v>6</v>
      </c>
      <c r="M289" s="86">
        <v>44348</v>
      </c>
      <c r="N289" s="77" t="s">
        <v>133</v>
      </c>
      <c r="O289" s="77" t="s">
        <v>154</v>
      </c>
      <c r="P289" s="77" t="s">
        <v>23</v>
      </c>
    </row>
    <row r="290" spans="2:16">
      <c r="B290" s="74" t="str">
        <f>IF(LEN(D290)&lt;10,CONCATENATE(LEFT(Inventario[[#This Row],[Área]],11),REPT(0,(10-LEN(D290))),D290),CONCATENATE(Inventario[Área],D290))</f>
        <v>1.3.4.0.0- 0000000058</v>
      </c>
      <c r="C290" s="75"/>
      <c r="D290" s="76">
        <v>58</v>
      </c>
      <c r="E290" s="77">
        <v>1</v>
      </c>
      <c r="F290" s="77" t="s">
        <v>206</v>
      </c>
      <c r="G290" s="77" t="s">
        <v>160</v>
      </c>
      <c r="H290" s="77" t="s">
        <v>207</v>
      </c>
      <c r="I290" s="81" t="s">
        <v>208</v>
      </c>
      <c r="J290" s="78" t="s">
        <v>158</v>
      </c>
      <c r="K290" s="77" t="s">
        <v>158</v>
      </c>
      <c r="L290" s="77" t="s">
        <v>6</v>
      </c>
      <c r="M290" s="86">
        <v>44348</v>
      </c>
      <c r="N290" s="77" t="s">
        <v>133</v>
      </c>
      <c r="O290" s="77" t="s">
        <v>154</v>
      </c>
      <c r="P290" s="77" t="s">
        <v>23</v>
      </c>
    </row>
    <row r="291" spans="2:16">
      <c r="B291" s="74" t="str">
        <f>IF(LEN(D291)&lt;10,CONCATENATE(LEFT(Inventario[[#This Row],[Área]],11),REPT(0,(10-LEN(D291))),D291),CONCATENATE(Inventario[Área],D291))</f>
        <v>1.3.4.0.0- 0000000057</v>
      </c>
      <c r="C291" s="75"/>
      <c r="D291" s="76">
        <v>57</v>
      </c>
      <c r="E291" s="77">
        <v>3</v>
      </c>
      <c r="F291" s="77" t="s">
        <v>205</v>
      </c>
      <c r="G291" s="77" t="s">
        <v>158</v>
      </c>
      <c r="H291" s="77" t="s">
        <v>158</v>
      </c>
      <c r="I291" s="81" t="s">
        <v>158</v>
      </c>
      <c r="J291" s="78" t="s">
        <v>158</v>
      </c>
      <c r="K291" s="77" t="s">
        <v>158</v>
      </c>
      <c r="L291" s="77" t="s">
        <v>6</v>
      </c>
      <c r="M291" s="86">
        <v>44348</v>
      </c>
      <c r="N291" s="77" t="s">
        <v>133</v>
      </c>
      <c r="O291" s="77" t="s">
        <v>154</v>
      </c>
      <c r="P291" s="77" t="s">
        <v>23</v>
      </c>
    </row>
    <row r="292" spans="2:16">
      <c r="B292" s="74" t="str">
        <f>IF(LEN(D292)&lt;10,CONCATENATE(LEFT(Inventario[[#This Row],[Área]],11),REPT(0,(10-LEN(D292))),D292),CONCATENATE(Inventario[Área],D292))</f>
        <v>1.2.8.15.0-0000000056</v>
      </c>
      <c r="C292" s="75"/>
      <c r="D292" s="76">
        <v>56</v>
      </c>
      <c r="E292" s="77">
        <v>1</v>
      </c>
      <c r="F292" s="77" t="s">
        <v>204</v>
      </c>
      <c r="G292" s="77" t="s">
        <v>158</v>
      </c>
      <c r="H292" s="77" t="s">
        <v>158</v>
      </c>
      <c r="I292" s="81" t="s">
        <v>158</v>
      </c>
      <c r="J292" s="78" t="s">
        <v>158</v>
      </c>
      <c r="K292" s="77" t="s">
        <v>158</v>
      </c>
      <c r="L292" s="77" t="s">
        <v>6</v>
      </c>
      <c r="M292" s="86" t="s">
        <v>158</v>
      </c>
      <c r="N292" s="77" t="s">
        <v>110</v>
      </c>
      <c r="O292" s="77" t="s">
        <v>154</v>
      </c>
      <c r="P292" s="77" t="s">
        <v>23</v>
      </c>
    </row>
    <row r="293" spans="2:16">
      <c r="B293" s="74" t="str">
        <f>IF(LEN(D293)&lt;10,CONCATENATE(LEFT(Inventario[[#This Row],[Área]],11),REPT(0,(10-LEN(D293))),D293),CONCATENATE(Inventario[Área],D293))</f>
        <v>1.2.8.15.0-0000000055</v>
      </c>
      <c r="C293" s="75"/>
      <c r="D293" s="76">
        <v>55</v>
      </c>
      <c r="E293" s="77">
        <v>1</v>
      </c>
      <c r="F293" s="77" t="s">
        <v>203</v>
      </c>
      <c r="G293" s="77" t="s">
        <v>158</v>
      </c>
      <c r="H293" s="77" t="s">
        <v>158</v>
      </c>
      <c r="I293" s="81" t="s">
        <v>158</v>
      </c>
      <c r="J293" s="78" t="s">
        <v>158</v>
      </c>
      <c r="K293" s="77" t="s">
        <v>158</v>
      </c>
      <c r="L293" s="77" t="s">
        <v>6</v>
      </c>
      <c r="M293" s="86" t="s">
        <v>158</v>
      </c>
      <c r="N293" s="77" t="s">
        <v>110</v>
      </c>
      <c r="O293" s="77" t="s">
        <v>154</v>
      </c>
      <c r="P293" s="77" t="s">
        <v>23</v>
      </c>
    </row>
    <row r="294" spans="2:16">
      <c r="B294" s="74" t="str">
        <f>IF(LEN(D294)&lt;10,CONCATENATE(LEFT(Inventario[[#This Row],[Área]],11),REPT(0,(10-LEN(D294))),D294),CONCATENATE(Inventario[Área],D294))</f>
        <v>1.2.8.15.0-0000000054</v>
      </c>
      <c r="C294" s="75"/>
      <c r="D294" s="76">
        <v>54</v>
      </c>
      <c r="E294" s="77">
        <v>3</v>
      </c>
      <c r="F294" s="77" t="s">
        <v>189</v>
      </c>
      <c r="G294" s="77" t="s">
        <v>190</v>
      </c>
      <c r="H294" s="77" t="s">
        <v>191</v>
      </c>
      <c r="I294" s="81" t="s">
        <v>158</v>
      </c>
      <c r="J294" s="78" t="s">
        <v>158</v>
      </c>
      <c r="K294" s="77" t="s">
        <v>158</v>
      </c>
      <c r="L294" s="77" t="s">
        <v>6</v>
      </c>
      <c r="M294" s="86" t="s">
        <v>158</v>
      </c>
      <c r="N294" s="77" t="s">
        <v>110</v>
      </c>
      <c r="O294" s="77" t="s">
        <v>154</v>
      </c>
      <c r="P294" s="77" t="s">
        <v>23</v>
      </c>
    </row>
    <row r="295" spans="2:16">
      <c r="B295" s="74" t="str">
        <f>IF(LEN(D295)&lt;10,CONCATENATE(LEFT(Inventario[[#This Row],[Área]],11),REPT(0,(10-LEN(D295))),D295),CONCATENATE(Inventario[Área],D295))</f>
        <v>1.2.8.15.0-0000000053</v>
      </c>
      <c r="C295" s="75"/>
      <c r="D295" s="76">
        <v>53</v>
      </c>
      <c r="E295" s="77">
        <v>20</v>
      </c>
      <c r="F295" s="77" t="s">
        <v>201</v>
      </c>
      <c r="G295" s="77" t="s">
        <v>160</v>
      </c>
      <c r="H295" s="77" t="s">
        <v>202</v>
      </c>
      <c r="I295" s="81" t="s">
        <v>158</v>
      </c>
      <c r="J295" s="78" t="s">
        <v>158</v>
      </c>
      <c r="K295" s="77" t="s">
        <v>158</v>
      </c>
      <c r="L295" s="77" t="s">
        <v>6</v>
      </c>
      <c r="M295" s="86" t="s">
        <v>158</v>
      </c>
      <c r="N295" s="77" t="s">
        <v>110</v>
      </c>
      <c r="O295" s="77" t="s">
        <v>154</v>
      </c>
      <c r="P295" s="77" t="s">
        <v>23</v>
      </c>
    </row>
    <row r="296" spans="2:16">
      <c r="B296" s="74" t="str">
        <f>IF(LEN(D296)&lt;10,CONCATENATE(LEFT(Inventario[[#This Row],[Área]],11),REPT(0,(10-LEN(D296))),D296),CONCATENATE(Inventario[Área],D296))</f>
        <v>1.2.8.15.0-0000000052</v>
      </c>
      <c r="C296" s="75"/>
      <c r="D296" s="76">
        <v>52</v>
      </c>
      <c r="E296" s="77">
        <v>26</v>
      </c>
      <c r="F296" s="77" t="s">
        <v>180</v>
      </c>
      <c r="G296" s="77" t="s">
        <v>158</v>
      </c>
      <c r="H296" s="77" t="s">
        <v>158</v>
      </c>
      <c r="I296" s="81" t="s">
        <v>158</v>
      </c>
      <c r="J296" s="78" t="s">
        <v>158</v>
      </c>
      <c r="K296" s="77" t="s">
        <v>158</v>
      </c>
      <c r="L296" s="77" t="s">
        <v>6</v>
      </c>
      <c r="M296" s="86" t="s">
        <v>158</v>
      </c>
      <c r="N296" s="77" t="s">
        <v>110</v>
      </c>
      <c r="O296" s="77" t="s">
        <v>154</v>
      </c>
      <c r="P296" s="77" t="s">
        <v>23</v>
      </c>
    </row>
    <row r="297" spans="2:16">
      <c r="B297" s="74" t="str">
        <f>IF(LEN(D297)&lt;10,CONCATENATE(LEFT(Inventario[[#This Row],[Área]],11),REPT(0,(10-LEN(D297))),D297),CONCATENATE(Inventario[Área],D297))</f>
        <v>1.2.8.15.0-0000000051</v>
      </c>
      <c r="C297" s="75"/>
      <c r="D297" s="76">
        <v>51</v>
      </c>
      <c r="E297" s="77">
        <v>54</v>
      </c>
      <c r="F297" s="77" t="s">
        <v>179</v>
      </c>
      <c r="G297" s="77" t="s">
        <v>158</v>
      </c>
      <c r="H297" s="77" t="s">
        <v>158</v>
      </c>
      <c r="I297" s="81" t="s">
        <v>158</v>
      </c>
      <c r="J297" s="78" t="s">
        <v>158</v>
      </c>
      <c r="K297" s="77" t="s">
        <v>158</v>
      </c>
      <c r="L297" s="77" t="s">
        <v>6</v>
      </c>
      <c r="M297" s="86" t="s">
        <v>158</v>
      </c>
      <c r="N297" s="77" t="s">
        <v>110</v>
      </c>
      <c r="O297" s="77" t="s">
        <v>154</v>
      </c>
      <c r="P297" s="77" t="s">
        <v>23</v>
      </c>
    </row>
    <row r="298" spans="2:16">
      <c r="B298" s="74" t="str">
        <f>IF(LEN(D298)&lt;10,CONCATENATE(LEFT(Inventario[[#This Row],[Área]],11),REPT(0,(10-LEN(D298))),D298),CONCATENATE(Inventario[Área],D298))</f>
        <v>1.3.4.0.0- 0000000050</v>
      </c>
      <c r="C298" s="75"/>
      <c r="D298" s="76">
        <v>50</v>
      </c>
      <c r="E298" s="77">
        <v>1</v>
      </c>
      <c r="F298" s="77" t="s">
        <v>192</v>
      </c>
      <c r="G298" s="77" t="s">
        <v>158</v>
      </c>
      <c r="H298" s="77" t="s">
        <v>158</v>
      </c>
      <c r="I298" s="81" t="s">
        <v>158</v>
      </c>
      <c r="J298" s="78" t="s">
        <v>158</v>
      </c>
      <c r="K298" s="77" t="s">
        <v>158</v>
      </c>
      <c r="L298" s="77" t="s">
        <v>6</v>
      </c>
      <c r="M298" s="86" t="s">
        <v>158</v>
      </c>
      <c r="N298" s="77" t="s">
        <v>133</v>
      </c>
      <c r="O298" s="77" t="s">
        <v>178</v>
      </c>
      <c r="P298" s="77" t="s">
        <v>23</v>
      </c>
    </row>
    <row r="299" spans="2:16">
      <c r="B299" s="74" t="str">
        <f>IF(LEN(D299)&lt;10,CONCATENATE(LEFT(Inventario[[#This Row],[Área]],11),REPT(0,(10-LEN(D299))),D299),CONCATENATE(Inventario[Área],D299))</f>
        <v>1.3.4.0.0- 0000000049</v>
      </c>
      <c r="C299" s="75"/>
      <c r="D299" s="76">
        <v>49</v>
      </c>
      <c r="E299" s="77">
        <v>1</v>
      </c>
      <c r="F299" s="77" t="s">
        <v>189</v>
      </c>
      <c r="G299" s="77" t="s">
        <v>190</v>
      </c>
      <c r="H299" s="77" t="s">
        <v>191</v>
      </c>
      <c r="I299" s="81" t="s">
        <v>158</v>
      </c>
      <c r="J299" s="78" t="s">
        <v>158</v>
      </c>
      <c r="K299" s="77" t="s">
        <v>158</v>
      </c>
      <c r="L299" s="77" t="s">
        <v>6</v>
      </c>
      <c r="M299" s="86" t="s">
        <v>158</v>
      </c>
      <c r="N299" s="77" t="s">
        <v>133</v>
      </c>
      <c r="O299" s="77" t="s">
        <v>178</v>
      </c>
      <c r="P299" s="77" t="s">
        <v>23</v>
      </c>
    </row>
    <row r="300" spans="2:16">
      <c r="B300" s="74" t="str">
        <f>IF(LEN(D300)&lt;10,CONCATENATE(LEFT(Inventario[[#This Row],[Área]],11),REPT(0,(10-LEN(D300))),D300),CONCATENATE(Inventario[Área],D300))</f>
        <v>1.3.4.0.0- 0000000048</v>
      </c>
      <c r="C300" s="75"/>
      <c r="D300" s="76">
        <v>48</v>
      </c>
      <c r="E300" s="77">
        <v>2</v>
      </c>
      <c r="F300" s="77" t="s">
        <v>187</v>
      </c>
      <c r="G300" s="77" t="s">
        <v>158</v>
      </c>
      <c r="H300" s="77" t="s">
        <v>158</v>
      </c>
      <c r="I300" s="81" t="s">
        <v>158</v>
      </c>
      <c r="J300" s="78" t="s">
        <v>158</v>
      </c>
      <c r="K300" s="77" t="s">
        <v>158</v>
      </c>
      <c r="L300" s="77" t="s">
        <v>6</v>
      </c>
      <c r="M300" s="86" t="s">
        <v>158</v>
      </c>
      <c r="N300" s="77" t="s">
        <v>133</v>
      </c>
      <c r="O300" s="77" t="s">
        <v>178</v>
      </c>
      <c r="P300" s="77" t="s">
        <v>23</v>
      </c>
    </row>
    <row r="301" spans="2:16">
      <c r="B301" s="74" t="str">
        <f>IF(LEN(D301)&lt;10,CONCATENATE(LEFT(Inventario[[#This Row],[Área]],11),REPT(0,(10-LEN(D301))),D301),CONCATENATE(Inventario[Área],D301))</f>
        <v>1.3.4.0.0- 0000000047</v>
      </c>
      <c r="C301" s="75"/>
      <c r="D301" s="76">
        <v>47</v>
      </c>
      <c r="E301" s="77">
        <v>1</v>
      </c>
      <c r="F301" s="77" t="s">
        <v>183</v>
      </c>
      <c r="G301" s="77" t="s">
        <v>176</v>
      </c>
      <c r="H301" s="77" t="s">
        <v>184</v>
      </c>
      <c r="I301" s="81" t="s">
        <v>158</v>
      </c>
      <c r="J301" s="78" t="s">
        <v>158</v>
      </c>
      <c r="K301" s="77" t="s">
        <v>158</v>
      </c>
      <c r="L301" s="77" t="s">
        <v>6</v>
      </c>
      <c r="M301" s="86" t="s">
        <v>158</v>
      </c>
      <c r="N301" s="77" t="s">
        <v>133</v>
      </c>
      <c r="O301" s="77" t="s">
        <v>178</v>
      </c>
      <c r="P301" s="77" t="s">
        <v>23</v>
      </c>
    </row>
    <row r="302" spans="2:16">
      <c r="B302" s="74" t="str">
        <f>IF(LEN(D302)&lt;10,CONCATENATE(LEFT(Inventario[[#This Row],[Área]],11),REPT(0,(10-LEN(D302))),D302),CONCATENATE(Inventario[Área],D302))</f>
        <v>1.3.4.0.0- 0000000046</v>
      </c>
      <c r="C302" s="75"/>
      <c r="D302" s="76">
        <v>46</v>
      </c>
      <c r="E302" s="77">
        <v>1</v>
      </c>
      <c r="F302" s="77" t="s">
        <v>200</v>
      </c>
      <c r="G302" s="77" t="s">
        <v>160</v>
      </c>
      <c r="H302" s="77" t="s">
        <v>186</v>
      </c>
      <c r="I302" s="81" t="s">
        <v>158</v>
      </c>
      <c r="J302" s="78" t="s">
        <v>158</v>
      </c>
      <c r="K302" s="77" t="s">
        <v>158</v>
      </c>
      <c r="L302" s="77" t="s">
        <v>6</v>
      </c>
      <c r="M302" s="86" t="s">
        <v>158</v>
      </c>
      <c r="N302" s="77" t="s">
        <v>133</v>
      </c>
      <c r="O302" s="77" t="s">
        <v>178</v>
      </c>
      <c r="P302" s="77" t="s">
        <v>23</v>
      </c>
    </row>
    <row r="303" spans="2:16">
      <c r="B303" s="74" t="str">
        <f>IF(LEN(D303)&lt;10,CONCATENATE(LEFT(Inventario[[#This Row],[Área]],11),REPT(0,(10-LEN(D303))),D303),CONCATENATE(Inventario[Área],D303))</f>
        <v>1.3.4.0.0- 0000000045</v>
      </c>
      <c r="C303" s="75"/>
      <c r="D303" s="76">
        <v>45</v>
      </c>
      <c r="E303" s="77">
        <v>28</v>
      </c>
      <c r="F303" s="77" t="s">
        <v>181</v>
      </c>
      <c r="G303" s="77" t="s">
        <v>156</v>
      </c>
      <c r="H303" s="77" t="s">
        <v>182</v>
      </c>
      <c r="I303" s="81" t="s">
        <v>158</v>
      </c>
      <c r="J303" s="78" t="s">
        <v>158</v>
      </c>
      <c r="K303" s="77" t="s">
        <v>158</v>
      </c>
      <c r="L303" s="77" t="s">
        <v>6</v>
      </c>
      <c r="M303" s="86" t="s">
        <v>158</v>
      </c>
      <c r="N303" s="77" t="s">
        <v>133</v>
      </c>
      <c r="O303" s="77" t="s">
        <v>178</v>
      </c>
      <c r="P303" s="77" t="s">
        <v>23</v>
      </c>
    </row>
    <row r="304" spans="2:16">
      <c r="B304" s="74" t="str">
        <f>IF(LEN(D304)&lt;10,CONCATENATE(LEFT(Inventario[[#This Row],[Área]],11),REPT(0,(10-LEN(D304))),D304),CONCATENATE(Inventario[Área],D304))</f>
        <v>1.3.4.0.0- 0000000044</v>
      </c>
      <c r="C304" s="75"/>
      <c r="D304" s="76">
        <v>44</v>
      </c>
      <c r="E304" s="77">
        <v>16</v>
      </c>
      <c r="F304" s="77" t="s">
        <v>180</v>
      </c>
      <c r="G304" s="77" t="s">
        <v>158</v>
      </c>
      <c r="H304" s="77" t="s">
        <v>158</v>
      </c>
      <c r="I304" s="81" t="s">
        <v>158</v>
      </c>
      <c r="J304" s="78" t="s">
        <v>158</v>
      </c>
      <c r="K304" s="77" t="s">
        <v>158</v>
      </c>
      <c r="L304" s="77" t="s">
        <v>6</v>
      </c>
      <c r="M304" s="86" t="s">
        <v>158</v>
      </c>
      <c r="N304" s="77" t="s">
        <v>133</v>
      </c>
      <c r="O304" s="77" t="s">
        <v>178</v>
      </c>
      <c r="P304" s="77" t="s">
        <v>23</v>
      </c>
    </row>
    <row r="305" spans="2:16">
      <c r="B305" s="74" t="str">
        <f>IF(LEN(D305)&lt;10,CONCATENATE(LEFT(Inventario[[#This Row],[Área]],11),REPT(0,(10-LEN(D305))),D305),CONCATENATE(Inventario[Área],D305))</f>
        <v>1.3.4.0.0- 0000000043</v>
      </c>
      <c r="C305" s="75"/>
      <c r="D305" s="76">
        <v>43</v>
      </c>
      <c r="E305" s="77">
        <v>30</v>
      </c>
      <c r="F305" s="77" t="s">
        <v>179</v>
      </c>
      <c r="G305" s="77" t="s">
        <v>158</v>
      </c>
      <c r="H305" s="77" t="s">
        <v>158</v>
      </c>
      <c r="I305" s="81" t="s">
        <v>158</v>
      </c>
      <c r="J305" s="78" t="s">
        <v>158</v>
      </c>
      <c r="K305" s="77" t="s">
        <v>158</v>
      </c>
      <c r="L305" s="77" t="s">
        <v>6</v>
      </c>
      <c r="M305" s="86" t="s">
        <v>158</v>
      </c>
      <c r="N305" s="77" t="s">
        <v>133</v>
      </c>
      <c r="O305" s="77" t="s">
        <v>178</v>
      </c>
      <c r="P305" s="77" t="s">
        <v>23</v>
      </c>
    </row>
    <row r="306" spans="2:16">
      <c r="B306" s="74" t="str">
        <f>IF(LEN(D306)&lt;10,CONCATENATE(LEFT(Inventario[[#This Row],[Área]],11),REPT(0,(10-LEN(D306))),D306),CONCATENATE(Inventario[Área],D306))</f>
        <v>1.3.4.0.0- 0000000042</v>
      </c>
      <c r="C306" s="75"/>
      <c r="D306" s="76">
        <v>42</v>
      </c>
      <c r="E306" s="77">
        <v>1</v>
      </c>
      <c r="F306" s="77" t="s">
        <v>192</v>
      </c>
      <c r="G306" s="77" t="s">
        <v>158</v>
      </c>
      <c r="H306" s="77" t="s">
        <v>158</v>
      </c>
      <c r="I306" s="81" t="s">
        <v>158</v>
      </c>
      <c r="J306" s="78" t="s">
        <v>158</v>
      </c>
      <c r="K306" s="77" t="s">
        <v>158</v>
      </c>
      <c r="L306" s="77" t="s">
        <v>6</v>
      </c>
      <c r="M306" s="86" t="s">
        <v>158</v>
      </c>
      <c r="N306" s="77" t="s">
        <v>133</v>
      </c>
      <c r="O306" s="77" t="s">
        <v>178</v>
      </c>
      <c r="P306" s="77" t="s">
        <v>23</v>
      </c>
    </row>
    <row r="307" spans="2:16">
      <c r="B307" s="74" t="str">
        <f>IF(LEN(D307)&lt;10,CONCATENATE(LEFT(Inventario[[#This Row],[Área]],11),REPT(0,(10-LEN(D307))),D307),CONCATENATE(Inventario[Área],D307))</f>
        <v>1.3.4.0.0- 0000000041</v>
      </c>
      <c r="C307" s="75"/>
      <c r="D307" s="76">
        <v>41</v>
      </c>
      <c r="E307" s="77">
        <v>1</v>
      </c>
      <c r="F307" s="77" t="s">
        <v>189</v>
      </c>
      <c r="G307" s="77" t="s">
        <v>190</v>
      </c>
      <c r="H307" s="77" t="s">
        <v>191</v>
      </c>
      <c r="I307" s="81" t="s">
        <v>158</v>
      </c>
      <c r="J307" s="78" t="s">
        <v>158</v>
      </c>
      <c r="K307" s="77" t="s">
        <v>158</v>
      </c>
      <c r="L307" s="77" t="s">
        <v>6</v>
      </c>
      <c r="M307" s="86" t="s">
        <v>158</v>
      </c>
      <c r="N307" s="77" t="s">
        <v>133</v>
      </c>
      <c r="O307" s="77" t="s">
        <v>178</v>
      </c>
      <c r="P307" s="77" t="s">
        <v>23</v>
      </c>
    </row>
    <row r="308" spans="2:16">
      <c r="B308" s="74" t="str">
        <f>IF(LEN(D308)&lt;10,CONCATENATE(LEFT(Inventario[[#This Row],[Área]],11),REPT(0,(10-LEN(D308))),D308),CONCATENATE(Inventario[Área],D308))</f>
        <v>1.3.4.0.0- 0000000040</v>
      </c>
      <c r="C308" s="75"/>
      <c r="D308" s="76">
        <v>40</v>
      </c>
      <c r="E308" s="77">
        <v>2</v>
      </c>
      <c r="F308" s="77" t="s">
        <v>187</v>
      </c>
      <c r="G308" s="77" t="s">
        <v>158</v>
      </c>
      <c r="H308" s="77" t="s">
        <v>158</v>
      </c>
      <c r="I308" s="81" t="s">
        <v>158</v>
      </c>
      <c r="J308" s="78" t="s">
        <v>158</v>
      </c>
      <c r="K308" s="77" t="s">
        <v>158</v>
      </c>
      <c r="L308" s="77" t="s">
        <v>6</v>
      </c>
      <c r="M308" s="86" t="s">
        <v>158</v>
      </c>
      <c r="N308" s="77" t="s">
        <v>133</v>
      </c>
      <c r="O308" s="77" t="s">
        <v>178</v>
      </c>
      <c r="P308" s="77" t="s">
        <v>23</v>
      </c>
    </row>
    <row r="309" spans="2:16">
      <c r="B309" s="74" t="str">
        <f>IF(LEN(D309)&lt;10,CONCATENATE(LEFT(Inventario[[#This Row],[Área]],11),REPT(0,(10-LEN(D309))),D309),CONCATENATE(Inventario[Área],D309))</f>
        <v>1.3.4.0.0- 0000000039</v>
      </c>
      <c r="C309" s="75"/>
      <c r="D309" s="76">
        <v>39</v>
      </c>
      <c r="E309" s="77">
        <v>1</v>
      </c>
      <c r="F309" s="77" t="s">
        <v>183</v>
      </c>
      <c r="G309" s="77" t="s">
        <v>176</v>
      </c>
      <c r="H309" s="77" t="s">
        <v>184</v>
      </c>
      <c r="I309" s="81" t="s">
        <v>158</v>
      </c>
      <c r="J309" s="78" t="s">
        <v>158</v>
      </c>
      <c r="K309" s="77" t="s">
        <v>158</v>
      </c>
      <c r="L309" s="77" t="s">
        <v>6</v>
      </c>
      <c r="M309" s="86" t="s">
        <v>158</v>
      </c>
      <c r="N309" s="77" t="s">
        <v>133</v>
      </c>
      <c r="O309" s="77" t="s">
        <v>178</v>
      </c>
      <c r="P309" s="77" t="s">
        <v>23</v>
      </c>
    </row>
    <row r="310" spans="2:16">
      <c r="B310" s="74" t="str">
        <f>IF(LEN(D310)&lt;10,CONCATENATE(LEFT(Inventario[[#This Row],[Área]],11),REPT(0,(10-LEN(D310))),D310),CONCATENATE(Inventario[Área],D310))</f>
        <v>1.3.4.0.0- 0000000038</v>
      </c>
      <c r="C310" s="75"/>
      <c r="D310" s="76">
        <v>38</v>
      </c>
      <c r="E310" s="77">
        <v>1</v>
      </c>
      <c r="F310" s="77" t="s">
        <v>198</v>
      </c>
      <c r="G310" s="77" t="s">
        <v>156</v>
      </c>
      <c r="H310" s="77" t="s">
        <v>199</v>
      </c>
      <c r="I310" s="81" t="s">
        <v>158</v>
      </c>
      <c r="J310" s="78" t="s">
        <v>158</v>
      </c>
      <c r="K310" s="77" t="s">
        <v>158</v>
      </c>
      <c r="L310" s="77" t="s">
        <v>6</v>
      </c>
      <c r="M310" s="86" t="s">
        <v>158</v>
      </c>
      <c r="N310" s="77" t="s">
        <v>133</v>
      </c>
      <c r="O310" s="77" t="s">
        <v>178</v>
      </c>
      <c r="P310" s="77" t="s">
        <v>23</v>
      </c>
    </row>
    <row r="311" spans="2:16">
      <c r="B311" s="74" t="str">
        <f>IF(LEN(D311)&lt;10,CONCATENATE(LEFT(Inventario[[#This Row],[Área]],11),REPT(0,(10-LEN(D311))),D311),CONCATENATE(Inventario[Área],D311))</f>
        <v>1.3.4.0.0- 0000000037</v>
      </c>
      <c r="C311" s="75"/>
      <c r="D311" s="76">
        <v>37</v>
      </c>
      <c r="E311" s="77">
        <v>28</v>
      </c>
      <c r="F311" s="77" t="s">
        <v>193</v>
      </c>
      <c r="G311" s="77" t="s">
        <v>194</v>
      </c>
      <c r="H311" s="77" t="s">
        <v>195</v>
      </c>
      <c r="I311" s="81" t="s">
        <v>158</v>
      </c>
      <c r="J311" s="78" t="s">
        <v>158</v>
      </c>
      <c r="K311" s="77" t="s">
        <v>158</v>
      </c>
      <c r="L311" s="77" t="s">
        <v>6</v>
      </c>
      <c r="M311" s="86" t="s">
        <v>158</v>
      </c>
      <c r="N311" s="77" t="s">
        <v>133</v>
      </c>
      <c r="O311" s="77" t="s">
        <v>178</v>
      </c>
      <c r="P311" s="77" t="s">
        <v>23</v>
      </c>
    </row>
    <row r="312" spans="2:16">
      <c r="B312" s="74" t="str">
        <f>IF(LEN(D312)&lt;10,CONCATENATE(LEFT(Inventario[[#This Row],[Área]],11),REPT(0,(10-LEN(D312))),D312),CONCATENATE(Inventario[Área],D312))</f>
        <v>1.3.4.0.0- 0000000036</v>
      </c>
      <c r="C312" s="75"/>
      <c r="D312" s="76">
        <v>36</v>
      </c>
      <c r="E312" s="77">
        <v>16</v>
      </c>
      <c r="F312" s="77" t="s">
        <v>180</v>
      </c>
      <c r="G312" s="77" t="s">
        <v>158</v>
      </c>
      <c r="H312" s="77" t="s">
        <v>158</v>
      </c>
      <c r="I312" s="81" t="s">
        <v>158</v>
      </c>
      <c r="J312" s="78" t="s">
        <v>158</v>
      </c>
      <c r="K312" s="77" t="s">
        <v>158</v>
      </c>
      <c r="L312" s="77" t="s">
        <v>6</v>
      </c>
      <c r="M312" s="86" t="s">
        <v>158</v>
      </c>
      <c r="N312" s="77" t="s">
        <v>133</v>
      </c>
      <c r="O312" s="77" t="s">
        <v>178</v>
      </c>
      <c r="P312" s="77" t="s">
        <v>23</v>
      </c>
    </row>
    <row r="313" spans="2:16">
      <c r="B313" s="74" t="str">
        <f>IF(LEN(D313)&lt;10,CONCATENATE(LEFT(Inventario[[#This Row],[Área]],11),REPT(0,(10-LEN(D313))),D313),CONCATENATE(Inventario[Área],D313))</f>
        <v>1.3.4.0.0- 0000000035</v>
      </c>
      <c r="C313" s="75"/>
      <c r="D313" s="76">
        <v>35</v>
      </c>
      <c r="E313" s="77">
        <v>30</v>
      </c>
      <c r="F313" s="77" t="s">
        <v>179</v>
      </c>
      <c r="G313" s="77" t="s">
        <v>158</v>
      </c>
      <c r="H313" s="77" t="s">
        <v>158</v>
      </c>
      <c r="I313" s="81" t="s">
        <v>158</v>
      </c>
      <c r="J313" s="78" t="s">
        <v>158</v>
      </c>
      <c r="K313" s="77" t="s">
        <v>158</v>
      </c>
      <c r="L313" s="77" t="s">
        <v>6</v>
      </c>
      <c r="M313" s="86" t="s">
        <v>158</v>
      </c>
      <c r="N313" s="77" t="s">
        <v>133</v>
      </c>
      <c r="O313" s="77" t="s">
        <v>178</v>
      </c>
      <c r="P313" s="77" t="s">
        <v>23</v>
      </c>
    </row>
    <row r="314" spans="2:16">
      <c r="B314" s="74" t="str">
        <f>IF(LEN(D314)&lt;10,CONCATENATE(LEFT(Inventario[[#This Row],[Área]],11),REPT(0,(10-LEN(D314))),D314),CONCATENATE(Inventario[Área],D314))</f>
        <v>1.3.4.0.0- 0000000034</v>
      </c>
      <c r="C314" s="75"/>
      <c r="D314" s="76">
        <v>34</v>
      </c>
      <c r="E314" s="77">
        <v>1</v>
      </c>
      <c r="F314" s="77" t="s">
        <v>192</v>
      </c>
      <c r="G314" s="77" t="s">
        <v>158</v>
      </c>
      <c r="H314" s="77" t="s">
        <v>158</v>
      </c>
      <c r="I314" s="81" t="s">
        <v>158</v>
      </c>
      <c r="J314" s="78" t="s">
        <v>158</v>
      </c>
      <c r="K314" s="77" t="s">
        <v>158</v>
      </c>
      <c r="L314" s="77" t="s">
        <v>6</v>
      </c>
      <c r="M314" s="86" t="s">
        <v>158</v>
      </c>
      <c r="N314" s="77" t="s">
        <v>133</v>
      </c>
      <c r="O314" s="77" t="s">
        <v>178</v>
      </c>
      <c r="P314" s="77" t="s">
        <v>23</v>
      </c>
    </row>
    <row r="315" spans="2:16">
      <c r="B315" s="74" t="str">
        <f>IF(LEN(D315)&lt;10,CONCATENATE(LEFT(Inventario[[#This Row],[Área]],11),REPT(0,(10-LEN(D315))),D315),CONCATENATE(Inventario[Área],D315))</f>
        <v>1.3.4.0.0- 0000000033</v>
      </c>
      <c r="C315" s="75"/>
      <c r="D315" s="76">
        <v>33</v>
      </c>
      <c r="E315" s="77">
        <v>1</v>
      </c>
      <c r="F315" s="77" t="s">
        <v>189</v>
      </c>
      <c r="G315" s="77" t="s">
        <v>190</v>
      </c>
      <c r="H315" s="77" t="s">
        <v>197</v>
      </c>
      <c r="I315" s="81" t="s">
        <v>158</v>
      </c>
      <c r="J315" s="78" t="s">
        <v>158</v>
      </c>
      <c r="K315" s="77" t="s">
        <v>158</v>
      </c>
      <c r="L315" s="77" t="s">
        <v>6</v>
      </c>
      <c r="M315" s="86" t="s">
        <v>158</v>
      </c>
      <c r="N315" s="77" t="s">
        <v>133</v>
      </c>
      <c r="O315" s="77" t="s">
        <v>178</v>
      </c>
      <c r="P315" s="77" t="s">
        <v>23</v>
      </c>
    </row>
    <row r="316" spans="2:16">
      <c r="B316" s="74" t="str">
        <f>IF(LEN(D316)&lt;10,CONCATENATE(LEFT(Inventario[[#This Row],[Área]],11),REPT(0,(10-LEN(D316))),D316),CONCATENATE(Inventario[Área],D316))</f>
        <v>1.3.4.0.0- 0000000032</v>
      </c>
      <c r="C316" s="75"/>
      <c r="D316" s="76">
        <v>32</v>
      </c>
      <c r="E316" s="77">
        <v>1</v>
      </c>
      <c r="F316" s="77" t="s">
        <v>188</v>
      </c>
      <c r="G316" s="77" t="s">
        <v>158</v>
      </c>
      <c r="H316" s="77" t="s">
        <v>158</v>
      </c>
      <c r="I316" s="81" t="s">
        <v>158</v>
      </c>
      <c r="J316" s="78" t="s">
        <v>158</v>
      </c>
      <c r="K316" s="77" t="s">
        <v>158</v>
      </c>
      <c r="L316" s="77" t="s">
        <v>6</v>
      </c>
      <c r="M316" s="86" t="s">
        <v>158</v>
      </c>
      <c r="N316" s="77" t="s">
        <v>133</v>
      </c>
      <c r="O316" s="77" t="s">
        <v>178</v>
      </c>
      <c r="P316" s="77" t="s">
        <v>23</v>
      </c>
    </row>
    <row r="317" spans="2:16">
      <c r="B317" s="74" t="str">
        <f>IF(LEN(D317)&lt;10,CONCATENATE(LEFT(Inventario[[#This Row],[Área]],11),REPT(0,(10-LEN(D317))),D317),CONCATENATE(Inventario[Área],D317))</f>
        <v>1.3.4.0.0- 0000000031</v>
      </c>
      <c r="C317" s="75"/>
      <c r="D317" s="76">
        <v>31</v>
      </c>
      <c r="E317" s="77">
        <v>1</v>
      </c>
      <c r="F317" s="77" t="s">
        <v>187</v>
      </c>
      <c r="G317" s="77" t="s">
        <v>158</v>
      </c>
      <c r="H317" s="77" t="s">
        <v>158</v>
      </c>
      <c r="I317" s="81" t="s">
        <v>158</v>
      </c>
      <c r="J317" s="78" t="s">
        <v>158</v>
      </c>
      <c r="K317" s="77" t="s">
        <v>158</v>
      </c>
      <c r="L317" s="77" t="s">
        <v>6</v>
      </c>
      <c r="M317" s="86" t="s">
        <v>158</v>
      </c>
      <c r="N317" s="77" t="s">
        <v>133</v>
      </c>
      <c r="O317" s="77" t="s">
        <v>178</v>
      </c>
      <c r="P317" s="77" t="s">
        <v>23</v>
      </c>
    </row>
    <row r="318" spans="2:16">
      <c r="B318" s="74" t="str">
        <f>IF(LEN(D318)&lt;10,CONCATENATE(LEFT(Inventario[[#This Row],[Área]],11),REPT(0,(10-LEN(D318))),D318),CONCATENATE(Inventario[Área],D318))</f>
        <v>1.3.4.0.0- 0000000030</v>
      </c>
      <c r="C318" s="75"/>
      <c r="D318" s="76">
        <v>30</v>
      </c>
      <c r="E318" s="77">
        <v>1</v>
      </c>
      <c r="F318" s="77" t="s">
        <v>181</v>
      </c>
      <c r="G318" s="77" t="s">
        <v>156</v>
      </c>
      <c r="H318" s="77" t="s">
        <v>182</v>
      </c>
      <c r="I318" s="81" t="s">
        <v>158</v>
      </c>
      <c r="J318" s="78" t="s">
        <v>158</v>
      </c>
      <c r="K318" s="77" t="s">
        <v>158</v>
      </c>
      <c r="L318" s="77" t="s">
        <v>6</v>
      </c>
      <c r="M318" s="86" t="s">
        <v>158</v>
      </c>
      <c r="N318" s="77" t="s">
        <v>133</v>
      </c>
      <c r="O318" s="77" t="s">
        <v>178</v>
      </c>
      <c r="P318" s="77" t="s">
        <v>23</v>
      </c>
    </row>
    <row r="319" spans="2:16">
      <c r="B319" s="74" t="str">
        <f>IF(LEN(D319)&lt;10,CONCATENATE(LEFT(Inventario[[#This Row],[Área]],11),REPT(0,(10-LEN(D319))),D319),CONCATENATE(Inventario[Área],D319))</f>
        <v>1.3.4.0.0- 0000000029</v>
      </c>
      <c r="C319" s="75"/>
      <c r="D319" s="76">
        <v>29</v>
      </c>
      <c r="E319" s="77">
        <v>1</v>
      </c>
      <c r="F319" s="77" t="s">
        <v>185</v>
      </c>
      <c r="G319" s="77" t="s">
        <v>160</v>
      </c>
      <c r="H319" s="77" t="s">
        <v>186</v>
      </c>
      <c r="I319" s="81" t="s">
        <v>158</v>
      </c>
      <c r="J319" s="78" t="s">
        <v>158</v>
      </c>
      <c r="K319" s="77" t="s">
        <v>158</v>
      </c>
      <c r="L319" s="77" t="s">
        <v>6</v>
      </c>
      <c r="M319" s="86" t="s">
        <v>158</v>
      </c>
      <c r="N319" s="77" t="s">
        <v>133</v>
      </c>
      <c r="O319" s="77" t="s">
        <v>178</v>
      </c>
      <c r="P319" s="77" t="s">
        <v>23</v>
      </c>
    </row>
    <row r="320" spans="2:16">
      <c r="B320" s="74" t="str">
        <f>IF(LEN(D320)&lt;10,CONCATENATE(LEFT(Inventario[[#This Row],[Área]],11),REPT(0,(10-LEN(D320))),D320),CONCATENATE(Inventario[Área],D320))</f>
        <v>1.3.4.0.0- 0000000028</v>
      </c>
      <c r="C320" s="75"/>
      <c r="D320" s="76">
        <v>28</v>
      </c>
      <c r="E320" s="77">
        <v>1</v>
      </c>
      <c r="F320" s="77" t="s">
        <v>183</v>
      </c>
      <c r="G320" s="77" t="s">
        <v>176</v>
      </c>
      <c r="H320" s="77" t="s">
        <v>196</v>
      </c>
      <c r="I320" s="81" t="s">
        <v>158</v>
      </c>
      <c r="J320" s="78" t="s">
        <v>158</v>
      </c>
      <c r="K320" s="77" t="s">
        <v>158</v>
      </c>
      <c r="L320" s="77" t="s">
        <v>6</v>
      </c>
      <c r="M320" s="86" t="s">
        <v>158</v>
      </c>
      <c r="N320" s="77" t="s">
        <v>133</v>
      </c>
      <c r="O320" s="77" t="s">
        <v>178</v>
      </c>
      <c r="P320" s="77" t="s">
        <v>23</v>
      </c>
    </row>
    <row r="321" spans="2:16">
      <c r="B321" s="74" t="str">
        <f>IF(LEN(D321)&lt;10,CONCATENATE(LEFT(Inventario[[#This Row],[Área]],11),REPT(0,(10-LEN(D321))),D321),CONCATENATE(Inventario[Área],D321))</f>
        <v>1.3.4.0.0- 0000000027</v>
      </c>
      <c r="C321" s="75"/>
      <c r="D321" s="76">
        <v>27</v>
      </c>
      <c r="E321" s="77">
        <v>27</v>
      </c>
      <c r="F321" s="77" t="s">
        <v>193</v>
      </c>
      <c r="G321" s="77" t="s">
        <v>194</v>
      </c>
      <c r="H321" s="77" t="s">
        <v>195</v>
      </c>
      <c r="I321" s="81" t="s">
        <v>158</v>
      </c>
      <c r="J321" s="78" t="s">
        <v>158</v>
      </c>
      <c r="K321" s="77" t="s">
        <v>158</v>
      </c>
      <c r="L321" s="77" t="s">
        <v>6</v>
      </c>
      <c r="M321" s="86" t="s">
        <v>158</v>
      </c>
      <c r="N321" s="77" t="s">
        <v>133</v>
      </c>
      <c r="O321" s="77" t="s">
        <v>178</v>
      </c>
      <c r="P321" s="77" t="s">
        <v>23</v>
      </c>
    </row>
    <row r="322" spans="2:16">
      <c r="B322" s="74" t="str">
        <f>IF(LEN(D322)&lt;10,CONCATENATE(LEFT(Inventario[[#This Row],[Área]],11),REPT(0,(10-LEN(D322))),D322),CONCATENATE(Inventario[Área],D322))</f>
        <v>1.3.4.0.0- 0000000026</v>
      </c>
      <c r="C322" s="75"/>
      <c r="D322" s="76">
        <v>26</v>
      </c>
      <c r="E322" s="77">
        <v>16</v>
      </c>
      <c r="F322" s="77" t="s">
        <v>180</v>
      </c>
      <c r="G322" s="77" t="s">
        <v>158</v>
      </c>
      <c r="H322" s="77" t="s">
        <v>158</v>
      </c>
      <c r="I322" s="81" t="s">
        <v>158</v>
      </c>
      <c r="J322" s="78" t="s">
        <v>158</v>
      </c>
      <c r="K322" s="77" t="s">
        <v>158</v>
      </c>
      <c r="L322" s="77" t="s">
        <v>6</v>
      </c>
      <c r="M322" s="86" t="s">
        <v>158</v>
      </c>
      <c r="N322" s="77" t="s">
        <v>133</v>
      </c>
      <c r="O322" s="77" t="s">
        <v>178</v>
      </c>
      <c r="P322" s="77" t="s">
        <v>23</v>
      </c>
    </row>
    <row r="323" spans="2:16">
      <c r="B323" s="74" t="str">
        <f>IF(LEN(D323)&lt;10,CONCATENATE(LEFT(Inventario[[#This Row],[Área]],11),REPT(0,(10-LEN(D323))),D323),CONCATENATE(Inventario[Área],D323))</f>
        <v>1.3.4.0.0- 0000000025</v>
      </c>
      <c r="C323" s="75"/>
      <c r="D323" s="76">
        <v>25</v>
      </c>
      <c r="E323" s="77">
        <v>28</v>
      </c>
      <c r="F323" s="77" t="s">
        <v>179</v>
      </c>
      <c r="G323" s="77" t="s">
        <v>158</v>
      </c>
      <c r="H323" s="77" t="s">
        <v>158</v>
      </c>
      <c r="I323" s="81" t="s">
        <v>158</v>
      </c>
      <c r="J323" s="78" t="s">
        <v>158</v>
      </c>
      <c r="K323" s="77" t="s">
        <v>158</v>
      </c>
      <c r="L323" s="77" t="s">
        <v>6</v>
      </c>
      <c r="M323" s="86" t="s">
        <v>158</v>
      </c>
      <c r="N323" s="77" t="s">
        <v>133</v>
      </c>
      <c r="O323" s="77" t="s">
        <v>178</v>
      </c>
      <c r="P323" s="77" t="s">
        <v>23</v>
      </c>
    </row>
    <row r="324" spans="2:16">
      <c r="B324" s="74" t="str">
        <f>IF(LEN(D324)&lt;10,CONCATENATE(LEFT(Inventario[[#This Row],[Área]],11),REPT(0,(10-LEN(D324))),D324),CONCATENATE(Inventario[Área],D324))</f>
        <v>1.3.4.0.0- 0000000024</v>
      </c>
      <c r="C324" s="75"/>
      <c r="D324" s="76">
        <v>24</v>
      </c>
      <c r="E324" s="77">
        <v>1</v>
      </c>
      <c r="F324" s="77" t="s">
        <v>192</v>
      </c>
      <c r="G324" s="77" t="s">
        <v>158</v>
      </c>
      <c r="H324" s="77" t="s">
        <v>158</v>
      </c>
      <c r="I324" s="81" t="s">
        <v>158</v>
      </c>
      <c r="J324" s="78" t="s">
        <v>158</v>
      </c>
      <c r="K324" s="77" t="s">
        <v>158</v>
      </c>
      <c r="L324" s="77" t="s">
        <v>6</v>
      </c>
      <c r="M324" s="86" t="s">
        <v>158</v>
      </c>
      <c r="N324" s="77" t="s">
        <v>133</v>
      </c>
      <c r="O324" s="77" t="s">
        <v>178</v>
      </c>
      <c r="P324" s="77" t="s">
        <v>23</v>
      </c>
    </row>
    <row r="325" spans="2:16">
      <c r="B325" s="74" t="str">
        <f>IF(LEN(D325)&lt;10,CONCATENATE(LEFT(Inventario[[#This Row],[Área]],11),REPT(0,(10-LEN(D325))),D325),CONCATENATE(Inventario[Área],D325))</f>
        <v>1.3.4.0.0- 0000000023</v>
      </c>
      <c r="C325" s="75"/>
      <c r="D325" s="76">
        <v>23</v>
      </c>
      <c r="E325" s="77">
        <v>1</v>
      </c>
      <c r="F325" s="77" t="s">
        <v>189</v>
      </c>
      <c r="G325" s="77" t="s">
        <v>190</v>
      </c>
      <c r="H325" s="77" t="s">
        <v>191</v>
      </c>
      <c r="I325" s="81" t="s">
        <v>158</v>
      </c>
      <c r="J325" s="78" t="s">
        <v>158</v>
      </c>
      <c r="K325" s="77" t="s">
        <v>158</v>
      </c>
      <c r="L325" s="77" t="s">
        <v>6</v>
      </c>
      <c r="M325" s="86" t="s">
        <v>158</v>
      </c>
      <c r="N325" s="77" t="s">
        <v>133</v>
      </c>
      <c r="O325" s="77" t="s">
        <v>178</v>
      </c>
      <c r="P325" s="77" t="s">
        <v>23</v>
      </c>
    </row>
    <row r="326" spans="2:16">
      <c r="B326" s="74" t="str">
        <f>IF(LEN(D326)&lt;10,CONCATENATE(LEFT(Inventario[[#This Row],[Área]],11),REPT(0,(10-LEN(D326))),D326),CONCATENATE(Inventario[Área],D326))</f>
        <v>1.3.4.0.0- 0000000022</v>
      </c>
      <c r="C326" s="75"/>
      <c r="D326" s="76">
        <v>22</v>
      </c>
      <c r="E326" s="77">
        <v>1</v>
      </c>
      <c r="F326" s="77" t="s">
        <v>188</v>
      </c>
      <c r="G326" s="77" t="s">
        <v>158</v>
      </c>
      <c r="H326" s="77" t="s">
        <v>158</v>
      </c>
      <c r="I326" s="81" t="s">
        <v>158</v>
      </c>
      <c r="J326" s="78" t="s">
        <v>158</v>
      </c>
      <c r="K326" s="77" t="s">
        <v>158</v>
      </c>
      <c r="L326" s="77" t="s">
        <v>6</v>
      </c>
      <c r="M326" s="86" t="s">
        <v>158</v>
      </c>
      <c r="N326" s="77" t="s">
        <v>133</v>
      </c>
      <c r="O326" s="77" t="s">
        <v>178</v>
      </c>
      <c r="P326" s="77" t="s">
        <v>23</v>
      </c>
    </row>
    <row r="327" spans="2:16">
      <c r="B327" s="74" t="str">
        <f>IF(LEN(D327)&lt;10,CONCATENATE(LEFT(Inventario[[#This Row],[Área]],11),REPT(0,(10-LEN(D327))),D327),CONCATENATE(Inventario[Área],D327))</f>
        <v>1.3.4.0.0- 0000000021</v>
      </c>
      <c r="C327" s="75"/>
      <c r="D327" s="76">
        <v>21</v>
      </c>
      <c r="E327" s="77">
        <v>1</v>
      </c>
      <c r="F327" s="77" t="s">
        <v>187</v>
      </c>
      <c r="G327" s="77" t="s">
        <v>158</v>
      </c>
      <c r="H327" s="77" t="s">
        <v>158</v>
      </c>
      <c r="I327" s="81" t="s">
        <v>158</v>
      </c>
      <c r="J327" s="78" t="s">
        <v>158</v>
      </c>
      <c r="K327" s="77" t="s">
        <v>158</v>
      </c>
      <c r="L327" s="77" t="s">
        <v>6</v>
      </c>
      <c r="M327" s="86" t="s">
        <v>158</v>
      </c>
      <c r="N327" s="77" t="s">
        <v>133</v>
      </c>
      <c r="O327" s="77" t="s">
        <v>178</v>
      </c>
      <c r="P327" s="77" t="s">
        <v>23</v>
      </c>
    </row>
    <row r="328" spans="2:16">
      <c r="B328" s="74" t="str">
        <f>IF(LEN(D328)&lt;10,CONCATENATE(LEFT(Inventario[[#This Row],[Área]],11),REPT(0,(10-LEN(D328))),D328),CONCATENATE(Inventario[Área],D328))</f>
        <v>1.3.4.0.0- 0000000020</v>
      </c>
      <c r="C328" s="75"/>
      <c r="D328" s="76">
        <v>20</v>
      </c>
      <c r="E328" s="77">
        <v>1</v>
      </c>
      <c r="F328" s="77" t="s">
        <v>185</v>
      </c>
      <c r="G328" s="77" t="s">
        <v>160</v>
      </c>
      <c r="H328" s="77" t="s">
        <v>186</v>
      </c>
      <c r="I328" s="81" t="s">
        <v>158</v>
      </c>
      <c r="J328" s="78" t="s">
        <v>158</v>
      </c>
      <c r="K328" s="77" t="s">
        <v>158</v>
      </c>
      <c r="L328" s="77" t="s">
        <v>6</v>
      </c>
      <c r="M328" s="86" t="s">
        <v>158</v>
      </c>
      <c r="N328" s="77" t="s">
        <v>133</v>
      </c>
      <c r="O328" s="77" t="s">
        <v>178</v>
      </c>
      <c r="P328" s="77" t="s">
        <v>23</v>
      </c>
    </row>
    <row r="329" spans="2:16">
      <c r="B329" s="74" t="str">
        <f>IF(LEN(D329)&lt;10,CONCATENATE(LEFT(Inventario[[#This Row],[Área]],11),REPT(0,(10-LEN(D329))),D329),CONCATENATE(Inventario[Área],D329))</f>
        <v>1.3.4.0.0- 0000000019</v>
      </c>
      <c r="C329" s="75"/>
      <c r="D329" s="76">
        <v>19</v>
      </c>
      <c r="E329" s="77">
        <v>1</v>
      </c>
      <c r="F329" s="77" t="s">
        <v>183</v>
      </c>
      <c r="G329" s="77" t="s">
        <v>176</v>
      </c>
      <c r="H329" s="77" t="s">
        <v>184</v>
      </c>
      <c r="I329" s="81" t="s">
        <v>158</v>
      </c>
      <c r="J329" s="78" t="s">
        <v>158</v>
      </c>
      <c r="K329" s="77" t="s">
        <v>158</v>
      </c>
      <c r="L329" s="77" t="s">
        <v>6</v>
      </c>
      <c r="M329" s="86" t="s">
        <v>158</v>
      </c>
      <c r="N329" s="77" t="s">
        <v>133</v>
      </c>
      <c r="O329" s="77" t="s">
        <v>178</v>
      </c>
      <c r="P329" s="77" t="s">
        <v>23</v>
      </c>
    </row>
    <row r="330" spans="2:16">
      <c r="B330" s="74" t="str">
        <f>IF(LEN(D330)&lt;10,CONCATENATE(LEFT(Inventario[[#This Row],[Área]],11),REPT(0,(10-LEN(D330))),D330),CONCATENATE(Inventario[Área],D330))</f>
        <v>1.3.4.0.0- 0000000018</v>
      </c>
      <c r="C330" s="75"/>
      <c r="D330" s="76">
        <v>18</v>
      </c>
      <c r="E330" s="77">
        <v>27</v>
      </c>
      <c r="F330" s="77" t="s">
        <v>181</v>
      </c>
      <c r="G330" s="77" t="s">
        <v>156</v>
      </c>
      <c r="H330" s="77" t="s">
        <v>182</v>
      </c>
      <c r="I330" s="81" t="s">
        <v>158</v>
      </c>
      <c r="J330" s="78" t="s">
        <v>158</v>
      </c>
      <c r="K330" s="77" t="s">
        <v>158</v>
      </c>
      <c r="L330" s="77" t="s">
        <v>6</v>
      </c>
      <c r="M330" s="86" t="s">
        <v>158</v>
      </c>
      <c r="N330" s="77" t="s">
        <v>133</v>
      </c>
      <c r="O330" s="77" t="s">
        <v>178</v>
      </c>
      <c r="P330" s="77" t="s">
        <v>23</v>
      </c>
    </row>
    <row r="331" spans="2:16">
      <c r="B331" s="74" t="str">
        <f>IF(LEN(D331)&lt;10,CONCATENATE(LEFT(Inventario[[#This Row],[Área]],11),REPT(0,(10-LEN(D331))),D331),CONCATENATE(Inventario[Área],D331))</f>
        <v>1.3.4.0.0- 0000000017</v>
      </c>
      <c r="C331" s="75"/>
      <c r="D331" s="76">
        <v>17</v>
      </c>
      <c r="E331" s="77">
        <v>17</v>
      </c>
      <c r="F331" s="77" t="s">
        <v>180</v>
      </c>
      <c r="G331" s="77" t="s">
        <v>158</v>
      </c>
      <c r="H331" s="77" t="s">
        <v>158</v>
      </c>
      <c r="I331" s="81" t="s">
        <v>158</v>
      </c>
      <c r="J331" s="78" t="s">
        <v>158</v>
      </c>
      <c r="K331" s="77" t="s">
        <v>158</v>
      </c>
      <c r="L331" s="77" t="s">
        <v>6</v>
      </c>
      <c r="M331" s="86" t="s">
        <v>158</v>
      </c>
      <c r="N331" s="77" t="s">
        <v>133</v>
      </c>
      <c r="O331" s="77" t="s">
        <v>178</v>
      </c>
      <c r="P331" s="77" t="s">
        <v>23</v>
      </c>
    </row>
    <row r="332" spans="2:16">
      <c r="B332" s="74" t="str">
        <f>IF(LEN(D332)&lt;10,CONCATENATE(LEFT(Inventario[[#This Row],[Área]],11),REPT(0,(10-LEN(D332))),D332),CONCATENATE(Inventario[Área],D332))</f>
        <v>1.3.4.0.0- 0000000016</v>
      </c>
      <c r="C332" s="75"/>
      <c r="D332" s="76">
        <v>16</v>
      </c>
      <c r="E332" s="77">
        <v>29</v>
      </c>
      <c r="F332" s="77" t="s">
        <v>179</v>
      </c>
      <c r="G332" s="77" t="s">
        <v>158</v>
      </c>
      <c r="H332" s="77" t="s">
        <v>158</v>
      </c>
      <c r="I332" s="81" t="s">
        <v>158</v>
      </c>
      <c r="J332" s="78" t="s">
        <v>158</v>
      </c>
      <c r="K332" s="77" t="s">
        <v>158</v>
      </c>
      <c r="L332" s="77" t="s">
        <v>6</v>
      </c>
      <c r="M332" s="86" t="s">
        <v>158</v>
      </c>
      <c r="N332" s="77" t="s">
        <v>133</v>
      </c>
      <c r="O332" s="77" t="s">
        <v>178</v>
      </c>
      <c r="P332" s="77" t="s">
        <v>23</v>
      </c>
    </row>
    <row r="333" spans="2:16">
      <c r="B333" s="74" t="str">
        <f>IF(LEN(D333)&lt;10,CONCATENATE(LEFT(Inventario[[#This Row],[Área]],11),REPT(0,(10-LEN(D333))),D333),CONCATENATE(Inventario[Área],D333))</f>
        <v>1.3.4.0.0- 0000000015</v>
      </c>
      <c r="C333" s="75"/>
      <c r="D333" s="76">
        <v>15</v>
      </c>
      <c r="E333" s="77">
        <v>1</v>
      </c>
      <c r="F333" s="77" t="s">
        <v>175</v>
      </c>
      <c r="G333" s="77" t="s">
        <v>176</v>
      </c>
      <c r="H333" s="77" t="s">
        <v>177</v>
      </c>
      <c r="I333" s="81" t="s">
        <v>158</v>
      </c>
      <c r="J333" s="78" t="s">
        <v>158</v>
      </c>
      <c r="K333" s="77" t="s">
        <v>158</v>
      </c>
      <c r="L333" s="77" t="s">
        <v>6</v>
      </c>
      <c r="M333" s="86" t="s">
        <v>158</v>
      </c>
      <c r="N333" s="77" t="s">
        <v>133</v>
      </c>
      <c r="O333" s="77" t="s">
        <v>154</v>
      </c>
      <c r="P333" s="77" t="s">
        <v>23</v>
      </c>
    </row>
    <row r="334" spans="2:16">
      <c r="B334" s="74" t="str">
        <f>IF(LEN(D334)&lt;10,CONCATENATE(LEFT(Inventario[[#This Row],[Área]],11),REPT(0,(10-LEN(D334))),D334),CONCATENATE(Inventario[Área],D334))</f>
        <v>1.3.4.0.0- 0000000014</v>
      </c>
      <c r="C334" s="75"/>
      <c r="D334" s="76">
        <v>14</v>
      </c>
      <c r="E334" s="77">
        <v>1</v>
      </c>
      <c r="F334" s="77" t="s">
        <v>174</v>
      </c>
      <c r="G334" s="77" t="s">
        <v>158</v>
      </c>
      <c r="H334" s="77" t="s">
        <v>158</v>
      </c>
      <c r="I334" s="81" t="s">
        <v>158</v>
      </c>
      <c r="J334" s="78" t="s">
        <v>158</v>
      </c>
      <c r="K334" s="77" t="s">
        <v>158</v>
      </c>
      <c r="L334" s="77" t="s">
        <v>6</v>
      </c>
      <c r="M334" s="86" t="s">
        <v>158</v>
      </c>
      <c r="N334" s="77" t="s">
        <v>133</v>
      </c>
      <c r="O334" s="77" t="s">
        <v>154</v>
      </c>
      <c r="P334" s="77" t="s">
        <v>23</v>
      </c>
    </row>
    <row r="335" spans="2:16">
      <c r="B335" s="74" t="str">
        <f>IF(LEN(D335)&lt;10,CONCATENATE(LEFT(Inventario[[#This Row],[Área]],11),REPT(0,(10-LEN(D335))),D335),CONCATENATE(Inventario[Área],D335))</f>
        <v>1.3.4.0.0- 0000000013</v>
      </c>
      <c r="C335" s="75"/>
      <c r="D335" s="76">
        <v>13</v>
      </c>
      <c r="E335" s="77">
        <v>1</v>
      </c>
      <c r="F335" s="77" t="s">
        <v>173</v>
      </c>
      <c r="G335" s="77" t="s">
        <v>158</v>
      </c>
      <c r="H335" s="77" t="s">
        <v>158</v>
      </c>
      <c r="I335" s="81" t="s">
        <v>158</v>
      </c>
      <c r="J335" s="78" t="s">
        <v>158</v>
      </c>
      <c r="K335" s="77" t="s">
        <v>158</v>
      </c>
      <c r="L335" s="77" t="s">
        <v>6</v>
      </c>
      <c r="M335" s="86" t="s">
        <v>158</v>
      </c>
      <c r="N335" s="77" t="s">
        <v>133</v>
      </c>
      <c r="O335" s="77" t="s">
        <v>154</v>
      </c>
      <c r="P335" s="77" t="s">
        <v>23</v>
      </c>
    </row>
    <row r="336" spans="2:16">
      <c r="B336" s="74" t="str">
        <f>IF(LEN(D336)&lt;10,CONCATENATE(LEFT(Inventario[[#This Row],[Área]],11),REPT(0,(10-LEN(D336))),D336),CONCATENATE(Inventario[Área],D336))</f>
        <v>1.3.4.0.0- 0000000012</v>
      </c>
      <c r="C336" s="75"/>
      <c r="D336" s="76">
        <v>12</v>
      </c>
      <c r="E336" s="77">
        <v>1</v>
      </c>
      <c r="F336" s="77" t="s">
        <v>172</v>
      </c>
      <c r="G336" s="77" t="s">
        <v>158</v>
      </c>
      <c r="H336" s="77" t="s">
        <v>158</v>
      </c>
      <c r="I336" s="81" t="s">
        <v>158</v>
      </c>
      <c r="J336" s="78" t="s">
        <v>158</v>
      </c>
      <c r="K336" s="77" t="s">
        <v>158</v>
      </c>
      <c r="L336" s="77" t="s">
        <v>6</v>
      </c>
      <c r="M336" s="86" t="s">
        <v>158</v>
      </c>
      <c r="N336" s="77" t="s">
        <v>133</v>
      </c>
      <c r="O336" s="77" t="s">
        <v>154</v>
      </c>
      <c r="P336" s="77" t="s">
        <v>23</v>
      </c>
    </row>
    <row r="337" spans="2:16">
      <c r="B337" s="74" t="str">
        <f>IF(LEN(D337)&lt;10,CONCATENATE(LEFT(Inventario[[#This Row],[Área]],11),REPT(0,(10-LEN(D337))),D337),CONCATENATE(Inventario[Área],D337))</f>
        <v>1.3.4.0.0- 0000000011</v>
      </c>
      <c r="C337" s="75"/>
      <c r="D337" s="76">
        <v>11</v>
      </c>
      <c r="E337" s="77">
        <v>1</v>
      </c>
      <c r="F337" s="77" t="s">
        <v>171</v>
      </c>
      <c r="G337" s="77" t="s">
        <v>158</v>
      </c>
      <c r="H337" s="77" t="s">
        <v>158</v>
      </c>
      <c r="I337" s="81" t="s">
        <v>158</v>
      </c>
      <c r="J337" s="78" t="s">
        <v>158</v>
      </c>
      <c r="K337" s="77" t="s">
        <v>158</v>
      </c>
      <c r="L337" s="77" t="s">
        <v>6</v>
      </c>
      <c r="M337" s="86" t="s">
        <v>158</v>
      </c>
      <c r="N337" s="77" t="s">
        <v>133</v>
      </c>
      <c r="O337" s="77" t="s">
        <v>154</v>
      </c>
      <c r="P337" s="77" t="s">
        <v>23</v>
      </c>
    </row>
    <row r="338" spans="2:16">
      <c r="B338" s="74" t="str">
        <f>IF(LEN(D338)&lt;10,CONCATENATE(LEFT(Inventario[[#This Row],[Área]],11),REPT(0,(10-LEN(D338))),D338),CONCATENATE(Inventario[Área],D338))</f>
        <v>1.3.4.0.0- 0000000010</v>
      </c>
      <c r="C338" s="75"/>
      <c r="D338" s="76">
        <v>10</v>
      </c>
      <c r="E338" s="77">
        <v>3</v>
      </c>
      <c r="F338" s="77" t="s">
        <v>170</v>
      </c>
      <c r="G338" s="77" t="s">
        <v>158</v>
      </c>
      <c r="H338" s="77" t="s">
        <v>158</v>
      </c>
      <c r="I338" s="81" t="s">
        <v>158</v>
      </c>
      <c r="J338" s="78" t="s">
        <v>158</v>
      </c>
      <c r="K338" s="77" t="s">
        <v>158</v>
      </c>
      <c r="L338" s="77" t="s">
        <v>6</v>
      </c>
      <c r="M338" s="86" t="s">
        <v>158</v>
      </c>
      <c r="N338" s="77" t="s">
        <v>133</v>
      </c>
      <c r="O338" s="77" t="s">
        <v>154</v>
      </c>
      <c r="P338" s="77" t="s">
        <v>23</v>
      </c>
    </row>
    <row r="339" spans="2:16">
      <c r="B339" s="74" t="str">
        <f>IF(LEN(D339)&lt;10,CONCATENATE(LEFT(Inventario[[#This Row],[Área]],11),REPT(0,(10-LEN(D339))),D339),CONCATENATE(Inventario[Área],D339))</f>
        <v>1.3.4.0.0- 0000000009</v>
      </c>
      <c r="C339" s="75"/>
      <c r="D339" s="76">
        <v>9</v>
      </c>
      <c r="E339" s="77">
        <v>1</v>
      </c>
      <c r="F339" s="77" t="s">
        <v>169</v>
      </c>
      <c r="G339" s="77" t="s">
        <v>158</v>
      </c>
      <c r="H339" s="77" t="s">
        <v>158</v>
      </c>
      <c r="I339" s="81" t="s">
        <v>158</v>
      </c>
      <c r="J339" s="78" t="s">
        <v>158</v>
      </c>
      <c r="K339" s="77" t="s">
        <v>158</v>
      </c>
      <c r="L339" s="77" t="s">
        <v>6</v>
      </c>
      <c r="M339" s="86" t="s">
        <v>158</v>
      </c>
      <c r="N339" s="77" t="s">
        <v>133</v>
      </c>
      <c r="O339" s="77" t="s">
        <v>154</v>
      </c>
      <c r="P339" s="77" t="s">
        <v>23</v>
      </c>
    </row>
    <row r="340" spans="2:16">
      <c r="B340" s="74" t="str">
        <f>IF(LEN(D340)&lt;10,CONCATENATE(LEFT(Inventario[[#This Row],[Área]],11),REPT(0,(10-LEN(D340))),D340),CONCATENATE(Inventario[Área],D340))</f>
        <v>1.3.4.0.0- 0000000008</v>
      </c>
      <c r="C340" s="75"/>
      <c r="D340" s="76">
        <v>8</v>
      </c>
      <c r="E340" s="77">
        <v>2</v>
      </c>
      <c r="F340" s="77" t="s">
        <v>168</v>
      </c>
      <c r="G340" s="77" t="s">
        <v>158</v>
      </c>
      <c r="H340" s="77" t="s">
        <v>158</v>
      </c>
      <c r="I340" s="81" t="s">
        <v>158</v>
      </c>
      <c r="J340" s="78" t="s">
        <v>158</v>
      </c>
      <c r="K340" s="77" t="s">
        <v>158</v>
      </c>
      <c r="L340" s="77" t="s">
        <v>6</v>
      </c>
      <c r="M340" s="86" t="s">
        <v>158</v>
      </c>
      <c r="N340" s="77" t="s">
        <v>133</v>
      </c>
      <c r="O340" s="77" t="s">
        <v>154</v>
      </c>
      <c r="P340" s="77" t="s">
        <v>23</v>
      </c>
    </row>
    <row r="341" spans="2:16">
      <c r="B341" s="74" t="str">
        <f>IF(LEN(D341)&lt;10,CONCATENATE(LEFT(Inventario[[#This Row],[Área]],11),REPT(0,(10-LEN(D341))),D341),CONCATENATE(Inventario[Área],D341))</f>
        <v>1.3.4.0.0- 0000000007</v>
      </c>
      <c r="C341" s="75"/>
      <c r="D341" s="76">
        <v>7</v>
      </c>
      <c r="E341" s="77">
        <v>1</v>
      </c>
      <c r="F341" s="77" t="s">
        <v>167</v>
      </c>
      <c r="G341" s="77" t="s">
        <v>158</v>
      </c>
      <c r="H341" s="77" t="s">
        <v>158</v>
      </c>
      <c r="I341" s="81" t="s">
        <v>158</v>
      </c>
      <c r="J341" s="78" t="s">
        <v>158</v>
      </c>
      <c r="K341" s="77" t="s">
        <v>158</v>
      </c>
      <c r="L341" s="77" t="s">
        <v>6</v>
      </c>
      <c r="M341" s="86" t="s">
        <v>158</v>
      </c>
      <c r="N341" s="77" t="s">
        <v>133</v>
      </c>
      <c r="O341" s="77" t="s">
        <v>154</v>
      </c>
      <c r="P341" s="77" t="s">
        <v>23</v>
      </c>
    </row>
    <row r="342" spans="2:16">
      <c r="B342" s="74" t="str">
        <f>IF(LEN(D342)&lt;10,CONCATENATE(LEFT(Inventario[[#This Row],[Área]],11),REPT(0,(10-LEN(D342))),D342),CONCATENATE(Inventario[Área],D342))</f>
        <v>1.3.4.0.0- 0000000006</v>
      </c>
      <c r="C342" s="75"/>
      <c r="D342" s="76">
        <v>6</v>
      </c>
      <c r="E342" s="77">
        <v>1</v>
      </c>
      <c r="F342" s="77" t="s">
        <v>166</v>
      </c>
      <c r="G342" s="77" t="s">
        <v>158</v>
      </c>
      <c r="H342" s="77" t="s">
        <v>158</v>
      </c>
      <c r="I342" s="81" t="s">
        <v>158</v>
      </c>
      <c r="J342" s="78" t="s">
        <v>158</v>
      </c>
      <c r="K342" s="77" t="s">
        <v>158</v>
      </c>
      <c r="L342" s="77" t="s">
        <v>6</v>
      </c>
      <c r="M342" s="86" t="s">
        <v>158</v>
      </c>
      <c r="N342" s="77" t="s">
        <v>133</v>
      </c>
      <c r="O342" s="77" t="s">
        <v>154</v>
      </c>
      <c r="P342" s="77" t="s">
        <v>23</v>
      </c>
    </row>
    <row r="343" spans="2:16">
      <c r="B343" s="74" t="str">
        <f>IF(LEN(D343)&lt;10,CONCATENATE(LEFT(Inventario[[#This Row],[Área]],11),REPT(0,(10-LEN(D343))),D343),CONCATENATE(Inventario[Área],D343))</f>
        <v>1.3.4.0.0- 0000000005</v>
      </c>
      <c r="C343" s="75"/>
      <c r="D343" s="76">
        <v>5</v>
      </c>
      <c r="E343" s="77">
        <v>1</v>
      </c>
      <c r="F343" s="77" t="s">
        <v>165</v>
      </c>
      <c r="G343" s="77" t="s">
        <v>158</v>
      </c>
      <c r="H343" s="77" t="s">
        <v>158</v>
      </c>
      <c r="I343" s="81" t="s">
        <v>158</v>
      </c>
      <c r="J343" s="78" t="s">
        <v>158</v>
      </c>
      <c r="K343" s="77" t="s">
        <v>158</v>
      </c>
      <c r="L343" s="77" t="s">
        <v>6</v>
      </c>
      <c r="M343" s="86" t="s">
        <v>158</v>
      </c>
      <c r="N343" s="77" t="s">
        <v>133</v>
      </c>
      <c r="O343" s="77" t="s">
        <v>154</v>
      </c>
      <c r="P343" s="77" t="s">
        <v>23</v>
      </c>
    </row>
    <row r="344" spans="2:16">
      <c r="B344" s="74" t="str">
        <f>IF(LEN(D344)&lt;10,CONCATENATE(LEFT(Inventario[[#This Row],[Área]],11),REPT(0,(10-LEN(D344))),D344),CONCATENATE(Inventario[Área],D344))</f>
        <v>1.3.4.0.0- 0000000004</v>
      </c>
      <c r="C344" s="75"/>
      <c r="D344" s="76">
        <v>4</v>
      </c>
      <c r="E344" s="77">
        <v>3</v>
      </c>
      <c r="F344" s="77" t="s">
        <v>164</v>
      </c>
      <c r="G344" s="77" t="s">
        <v>158</v>
      </c>
      <c r="H344" s="77" t="s">
        <v>158</v>
      </c>
      <c r="I344" s="81" t="s">
        <v>158</v>
      </c>
      <c r="J344" s="78" t="s">
        <v>158</v>
      </c>
      <c r="K344" s="77" t="s">
        <v>158</v>
      </c>
      <c r="L344" s="77" t="s">
        <v>6</v>
      </c>
      <c r="M344" s="86" t="s">
        <v>158</v>
      </c>
      <c r="N344" s="77" t="s">
        <v>133</v>
      </c>
      <c r="O344" s="77" t="s">
        <v>154</v>
      </c>
      <c r="P344" s="77" t="s">
        <v>23</v>
      </c>
    </row>
    <row r="345" spans="2:16">
      <c r="B345" s="74" t="str">
        <f>IF(LEN(D345)&lt;10,CONCATENATE(LEFT(Inventario[[#This Row],[Área]],11),REPT(0,(10-LEN(D345))),D345),CONCATENATE(Inventario[Área],D345))</f>
        <v>1.3.4.0.0- 0000000003</v>
      </c>
      <c r="C345" s="75"/>
      <c r="D345" s="76">
        <v>3</v>
      </c>
      <c r="E345" s="77">
        <v>1</v>
      </c>
      <c r="F345" s="77" t="s">
        <v>163</v>
      </c>
      <c r="G345" s="77" t="s">
        <v>158</v>
      </c>
      <c r="H345" s="77" t="s">
        <v>158</v>
      </c>
      <c r="I345" s="81" t="s">
        <v>158</v>
      </c>
      <c r="J345" s="78" t="s">
        <v>158</v>
      </c>
      <c r="K345" s="77" t="s">
        <v>158</v>
      </c>
      <c r="L345" s="77" t="s">
        <v>6</v>
      </c>
      <c r="M345" s="86" t="s">
        <v>158</v>
      </c>
      <c r="N345" s="77" t="s">
        <v>133</v>
      </c>
      <c r="O345" s="77" t="s">
        <v>154</v>
      </c>
      <c r="P345" s="77" t="s">
        <v>23</v>
      </c>
    </row>
    <row r="346" spans="2:16">
      <c r="B346" s="74" t="str">
        <f>IF(LEN(D346)&lt;10,CONCATENATE(LEFT(Inventario[[#This Row],[Área]],11),REPT(0,(10-LEN(D346))),D346),CONCATENATE(Inventario[Área],D346))</f>
        <v>1.3.4.0.0- 0000000002</v>
      </c>
      <c r="C346" s="75"/>
      <c r="D346" s="76">
        <v>2</v>
      </c>
      <c r="E346" s="77">
        <v>1</v>
      </c>
      <c r="F346" s="77" t="s">
        <v>159</v>
      </c>
      <c r="G346" s="77" t="s">
        <v>160</v>
      </c>
      <c r="H346" s="77" t="s">
        <v>161</v>
      </c>
      <c r="I346" s="81" t="s">
        <v>162</v>
      </c>
      <c r="J346" s="78" t="s">
        <v>158</v>
      </c>
      <c r="K346" s="77" t="s">
        <v>158</v>
      </c>
      <c r="L346" s="77" t="s">
        <v>6</v>
      </c>
      <c r="M346" s="86" t="s">
        <v>158</v>
      </c>
      <c r="N346" s="77" t="s">
        <v>133</v>
      </c>
      <c r="O346" s="77" t="s">
        <v>154</v>
      </c>
      <c r="P346" s="77" t="s">
        <v>23</v>
      </c>
    </row>
    <row r="347" spans="2:16">
      <c r="B347" s="74" t="str">
        <f>IF(LEN(D347)&lt;10,CONCATENATE(LEFT(Inventario[[#This Row],[Área]],11),REPT(0,(10-LEN(D347))),D347),CONCATENATE(Inventario[Área],D347))</f>
        <v>1.3.4.0.0- 0000000001</v>
      </c>
      <c r="C347" s="75"/>
      <c r="D347" s="76">
        <v>1</v>
      </c>
      <c r="E347" s="77">
        <v>1</v>
      </c>
      <c r="F347" s="77" t="s">
        <v>155</v>
      </c>
      <c r="G347" s="77" t="s">
        <v>156</v>
      </c>
      <c r="H347" s="77" t="s">
        <v>157</v>
      </c>
      <c r="I347" s="81" t="s">
        <v>158</v>
      </c>
      <c r="J347" s="78" t="s">
        <v>158</v>
      </c>
      <c r="K347" s="77" t="s">
        <v>158</v>
      </c>
      <c r="L347" s="77" t="s">
        <v>6</v>
      </c>
      <c r="M347" s="86" t="s">
        <v>158</v>
      </c>
      <c r="N347" s="77" t="s">
        <v>133</v>
      </c>
      <c r="O347" s="77" t="s">
        <v>154</v>
      </c>
      <c r="P347" s="77" t="s">
        <v>23</v>
      </c>
    </row>
    <row r="348" spans="2:16">
      <c r="B348" s="35" t="str">
        <f>IF(LEN(D348)&lt;10,CONCATENATE(LEFT(Inventario[[#This Row],[Área]],11),REPT(0,(10-LEN(D348))),D348),CONCATENATE(Inventario[Área],D348))</f>
        <v>0000000000</v>
      </c>
      <c r="C348" s="36" t="s">
        <v>26</v>
      </c>
      <c r="D348" s="37"/>
      <c r="E348" s="7"/>
      <c r="F348" s="7"/>
      <c r="G348" s="7"/>
      <c r="H348" s="7"/>
      <c r="I348" s="82"/>
      <c r="J348" s="8"/>
      <c r="K348" s="7"/>
      <c r="L348" s="7"/>
      <c r="M348" s="9"/>
      <c r="N348" s="7"/>
      <c r="O348" s="7"/>
      <c r="P348" s="7"/>
    </row>
  </sheetData>
  <dataValidations count="4">
    <dataValidation type="list" allowBlank="1" showInputMessage="1" showErrorMessage="1" sqref="H3">
      <formula1>ADQUISICIÓN</formula1>
    </dataValidation>
    <dataValidation type="list" allowBlank="1" showInputMessage="1" showErrorMessage="1" sqref="H7">
      <formula1>ESTATUS</formula1>
    </dataValidation>
    <dataValidation type="list" allowBlank="1" showInputMessage="1" showErrorMessage="1" sqref="H5">
      <formula1>ÁREAS</formula1>
    </dataValidation>
    <dataValidation type="list" allowBlank="1" showInputMessage="1" showErrorMessage="1" sqref="H6">
      <formula1>RESGUARDANTE</formula1>
    </dataValidation>
  </dataValidation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6"/>
  <sheetViews>
    <sheetView workbookViewId="0"/>
  </sheetViews>
  <sheetFormatPr baseColWidth="10" defaultRowHeight="15"/>
  <cols>
    <col min="1" max="1" width="3.7109375" customWidth="1"/>
    <col min="2" max="2" width="21.5703125" customWidth="1"/>
    <col min="3" max="3" width="24.28515625" customWidth="1"/>
    <col min="4" max="4" width="19.140625" customWidth="1"/>
    <col min="5" max="5" width="45.85546875" customWidth="1"/>
    <col min="6" max="6" width="19" customWidth="1"/>
    <col min="7" max="7" width="20.7109375" customWidth="1"/>
    <col min="8" max="8" width="20.42578125" customWidth="1"/>
    <col min="9" max="9" width="12.7109375" customWidth="1"/>
    <col min="10" max="10" width="24.28515625" customWidth="1"/>
    <col min="11" max="11" width="13.5703125" customWidth="1"/>
    <col min="12" max="12" width="21.5703125" customWidth="1"/>
    <col min="14" max="14" width="17.42578125" customWidth="1"/>
  </cols>
  <sheetData>
    <row r="1" spans="1:9" s="18" customFormat="1" ht="23.25">
      <c r="B1" s="17" t="s">
        <v>152</v>
      </c>
    </row>
    <row r="2" spans="1:9" s="18" customFormat="1"/>
    <row r="3" spans="1:9" s="18" customFormat="1"/>
    <row r="4" spans="1:9" s="18" customFormat="1">
      <c r="A4" s="66"/>
      <c r="B4" s="4" t="s">
        <v>150</v>
      </c>
      <c r="C4" s="67" t="s">
        <v>28</v>
      </c>
      <c r="D4" s="67" t="s">
        <v>5</v>
      </c>
      <c r="E4" s="67" t="s">
        <v>0</v>
      </c>
      <c r="F4" s="67" t="s">
        <v>19</v>
      </c>
      <c r="G4" s="67" t="s">
        <v>20</v>
      </c>
      <c r="H4" s="67" t="s">
        <v>21</v>
      </c>
      <c r="I4" s="67" t="s">
        <v>2</v>
      </c>
    </row>
    <row r="5" spans="1:9" s="18" customFormat="1">
      <c r="A5" s="66"/>
      <c r="B5" s="68"/>
      <c r="C5" s="68"/>
      <c r="D5" s="68"/>
      <c r="E5" s="68"/>
      <c r="F5" s="68"/>
      <c r="G5" s="68"/>
      <c r="H5" s="68"/>
      <c r="I5" s="69"/>
    </row>
    <row r="6" spans="1:9" s="18" customFormat="1">
      <c r="A6" s="66"/>
    </row>
    <row r="7" spans="1:9" s="18" customFormat="1">
      <c r="A7" s="66"/>
    </row>
    <row r="8" spans="1:9" s="18" customFormat="1">
      <c r="A8" s="66"/>
      <c r="B8" s="67" t="s">
        <v>3</v>
      </c>
      <c r="C8" s="67" t="s">
        <v>1</v>
      </c>
      <c r="D8" s="67" t="s">
        <v>4</v>
      </c>
      <c r="E8" s="5" t="s">
        <v>15</v>
      </c>
      <c r="F8" s="5" t="s">
        <v>16</v>
      </c>
      <c r="G8" s="5" t="s">
        <v>22</v>
      </c>
    </row>
    <row r="9" spans="1:9" s="18" customFormat="1">
      <c r="A9" s="66"/>
      <c r="B9" s="68"/>
      <c r="C9" s="68"/>
      <c r="D9" s="68"/>
      <c r="E9" s="70"/>
      <c r="F9" s="68"/>
      <c r="G9" s="68"/>
    </row>
    <row r="10" spans="1:9" s="18" customFormat="1">
      <c r="A10" s="66"/>
      <c r="B10" s="19"/>
      <c r="D10" s="71"/>
    </row>
    <row r="11" spans="1:9" s="18" customFormat="1">
      <c r="A11" s="66"/>
      <c r="D11" s="71"/>
    </row>
    <row r="12" spans="1:9" s="18" customFormat="1">
      <c r="A12" s="66"/>
      <c r="D12" s="71"/>
    </row>
    <row r="13" spans="1:9" s="18" customFormat="1">
      <c r="A13" s="66"/>
      <c r="D13" s="71"/>
    </row>
    <row r="14" spans="1:9" s="18" customFormat="1">
      <c r="A14" s="66"/>
      <c r="D14" s="71"/>
    </row>
    <row r="15" spans="1:9" s="18" customFormat="1">
      <c r="A15" s="66"/>
    </row>
    <row r="16" spans="1:9" s="18" customFormat="1">
      <c r="A16" s="66"/>
    </row>
    <row r="17" spans="1:15">
      <c r="A17" s="1"/>
    </row>
    <row r="18" spans="1:15">
      <c r="B18" s="3" t="s">
        <v>150</v>
      </c>
      <c r="C18" s="3" t="s">
        <v>28</v>
      </c>
      <c r="D18" s="3" t="s">
        <v>5</v>
      </c>
      <c r="E18" s="3" t="s">
        <v>0</v>
      </c>
      <c r="F18" s="3" t="s">
        <v>19</v>
      </c>
      <c r="G18" s="3" t="s">
        <v>20</v>
      </c>
      <c r="H18" s="3" t="s">
        <v>21</v>
      </c>
      <c r="I18" s="3" t="s">
        <v>2</v>
      </c>
      <c r="J18" s="3" t="s">
        <v>3</v>
      </c>
      <c r="K18" s="3" t="s">
        <v>1</v>
      </c>
      <c r="L18" s="3" t="s">
        <v>4</v>
      </c>
      <c r="M18" s="3" t="s">
        <v>15</v>
      </c>
      <c r="N18" s="3" t="s">
        <v>16</v>
      </c>
      <c r="O18" s="3" t="s">
        <v>22</v>
      </c>
    </row>
    <row r="19" spans="1:15">
      <c r="B19" s="38"/>
      <c r="C19" s="65"/>
      <c r="D19" s="30"/>
      <c r="E19" s="30"/>
      <c r="F19" s="30"/>
      <c r="G19" s="30"/>
      <c r="H19" s="64"/>
      <c r="I19" s="31"/>
      <c r="J19" s="30"/>
      <c r="K19" s="30"/>
      <c r="L19" s="73"/>
      <c r="M19" s="30"/>
      <c r="N19" s="30"/>
      <c r="O19" s="30"/>
    </row>
    <row r="20" spans="1:15">
      <c r="B20" s="38"/>
      <c r="C20" s="39"/>
      <c r="D20" s="30"/>
      <c r="E20" s="30"/>
      <c r="F20" s="30"/>
      <c r="G20" s="30"/>
      <c r="H20" s="64"/>
      <c r="I20" s="31"/>
      <c r="J20" s="30"/>
      <c r="K20" s="30"/>
      <c r="L20" s="32"/>
      <c r="M20" s="30"/>
      <c r="N20" s="30"/>
      <c r="O20" s="30"/>
    </row>
    <row r="21" spans="1:15">
      <c r="B21" s="38"/>
      <c r="C21" s="39"/>
      <c r="D21" s="30"/>
      <c r="E21" s="30"/>
      <c r="F21" s="30"/>
      <c r="G21" s="30"/>
      <c r="H21" s="64"/>
      <c r="I21" s="31"/>
      <c r="J21" s="30"/>
      <c r="K21" s="30"/>
      <c r="L21" s="32"/>
      <c r="M21" s="30"/>
      <c r="N21" s="30"/>
      <c r="O21" s="30"/>
    </row>
    <row r="22" spans="1:15">
      <c r="B22" s="38"/>
      <c r="C22" s="39"/>
      <c r="D22" s="30"/>
      <c r="E22" s="30"/>
      <c r="F22" s="30"/>
      <c r="G22" s="30"/>
      <c r="H22" s="64"/>
      <c r="I22" s="31"/>
      <c r="J22" s="30"/>
      <c r="K22" s="30"/>
      <c r="L22" s="32"/>
      <c r="M22" s="30"/>
      <c r="N22" s="30"/>
      <c r="O22" s="30"/>
    </row>
    <row r="23" spans="1:15">
      <c r="B23" s="38"/>
      <c r="C23" s="39"/>
      <c r="D23" s="30"/>
      <c r="E23" s="30"/>
      <c r="F23" s="30"/>
      <c r="G23" s="30"/>
      <c r="H23" s="64"/>
      <c r="I23" s="31"/>
      <c r="J23" s="30"/>
      <c r="K23" s="30"/>
      <c r="L23" s="32"/>
      <c r="M23" s="30"/>
      <c r="N23" s="30"/>
      <c r="O23" s="30"/>
    </row>
    <row r="24" spans="1:15">
      <c r="B24" s="38"/>
      <c r="C24" s="65"/>
      <c r="D24" s="30"/>
      <c r="E24" s="30"/>
      <c r="F24" s="30"/>
      <c r="G24" s="30"/>
      <c r="H24" s="64"/>
      <c r="I24" s="31"/>
      <c r="J24" s="30"/>
      <c r="K24" s="30"/>
      <c r="L24" s="32"/>
      <c r="M24" s="30"/>
      <c r="N24" s="30"/>
      <c r="O24" s="30"/>
    </row>
    <row r="25" spans="1:15">
      <c r="B25" s="38"/>
      <c r="C25" s="65"/>
      <c r="D25" s="30"/>
      <c r="E25" s="30"/>
      <c r="F25" s="30"/>
      <c r="G25" s="30"/>
      <c r="H25" s="64"/>
      <c r="I25" s="31"/>
      <c r="J25" s="30"/>
      <c r="K25" s="30"/>
      <c r="L25" s="32"/>
      <c r="M25" s="30"/>
      <c r="N25" s="30"/>
      <c r="O25" s="30"/>
    </row>
    <row r="26" spans="1:15">
      <c r="B26" s="38"/>
      <c r="C26" s="65"/>
      <c r="D26" s="30"/>
      <c r="E26" s="30"/>
      <c r="F26" s="30"/>
      <c r="G26" s="30"/>
      <c r="H26" s="64"/>
      <c r="I26" s="31"/>
      <c r="J26" s="30"/>
      <c r="K26" s="30"/>
      <c r="L26" s="32"/>
      <c r="M26" s="30"/>
      <c r="N26" s="30"/>
      <c r="O26" s="30"/>
    </row>
    <row r="27" spans="1:15">
      <c r="B27" s="38"/>
      <c r="C27" s="65"/>
      <c r="D27" s="30"/>
      <c r="E27" s="30"/>
      <c r="F27" s="30"/>
      <c r="G27" s="30"/>
      <c r="H27" s="64"/>
      <c r="I27" s="31"/>
      <c r="J27" s="30"/>
      <c r="K27" s="30"/>
      <c r="L27" s="32"/>
      <c r="M27" s="30"/>
      <c r="N27" s="30"/>
      <c r="O27" s="30"/>
    </row>
    <row r="28" spans="1:15">
      <c r="B28" s="38"/>
      <c r="C28" s="65"/>
      <c r="D28" s="30"/>
      <c r="E28" s="30"/>
      <c r="F28" s="30"/>
      <c r="G28" s="30"/>
      <c r="H28" s="64"/>
      <c r="I28" s="31"/>
      <c r="J28" s="30"/>
      <c r="K28" s="30"/>
      <c r="L28" s="32"/>
      <c r="M28" s="30"/>
      <c r="N28" s="30"/>
      <c r="O28" s="30"/>
    </row>
    <row r="29" spans="1:15">
      <c r="B29" s="38"/>
      <c r="C29" s="65"/>
      <c r="D29" s="30"/>
      <c r="E29" s="30"/>
      <c r="F29" s="30"/>
      <c r="G29" s="30"/>
      <c r="H29" s="64"/>
      <c r="I29" s="31"/>
      <c r="J29" s="30"/>
      <c r="K29" s="30"/>
      <c r="L29" s="32"/>
      <c r="M29" s="30"/>
      <c r="N29" s="30"/>
      <c r="O29" s="30"/>
    </row>
    <row r="30" spans="1:15">
      <c r="B30" s="38"/>
      <c r="C30" s="65"/>
      <c r="D30" s="30"/>
      <c r="E30" s="30"/>
      <c r="F30" s="30"/>
      <c r="G30" s="30"/>
      <c r="H30" s="64"/>
      <c r="I30" s="31"/>
      <c r="J30" s="30"/>
      <c r="K30" s="30"/>
      <c r="L30" s="32"/>
      <c r="M30" s="30"/>
      <c r="N30" s="30"/>
      <c r="O30" s="30"/>
    </row>
    <row r="31" spans="1:15">
      <c r="B31" s="38"/>
      <c r="C31" s="65"/>
      <c r="D31" s="30"/>
      <c r="E31" s="30"/>
      <c r="F31" s="30"/>
      <c r="G31" s="30"/>
      <c r="H31" s="64"/>
      <c r="I31" s="31"/>
      <c r="J31" s="30"/>
      <c r="K31" s="30"/>
      <c r="L31" s="32"/>
      <c r="M31" s="30"/>
      <c r="N31" s="30"/>
      <c r="O31" s="30"/>
    </row>
    <row r="32" spans="1:15">
      <c r="B32" s="38"/>
      <c r="C32" s="65"/>
      <c r="D32" s="30"/>
      <c r="E32" s="30"/>
      <c r="F32" s="30"/>
      <c r="G32" s="30"/>
      <c r="H32" s="64"/>
      <c r="I32" s="31"/>
      <c r="J32" s="30"/>
      <c r="K32" s="30"/>
      <c r="L32" s="32"/>
      <c r="M32" s="30"/>
      <c r="N32" s="30"/>
      <c r="O32" s="30"/>
    </row>
    <row r="33" spans="2:15">
      <c r="B33" s="38"/>
      <c r="C33" s="65"/>
      <c r="D33" s="30"/>
      <c r="E33" s="30"/>
      <c r="F33" s="30"/>
      <c r="G33" s="30"/>
      <c r="H33" s="64"/>
      <c r="I33" s="31"/>
      <c r="J33" s="30"/>
      <c r="K33" s="30"/>
      <c r="L33" s="32"/>
      <c r="M33" s="30"/>
      <c r="N33" s="30"/>
      <c r="O33" s="30"/>
    </row>
    <row r="34" spans="2:15">
      <c r="B34" s="38"/>
      <c r="C34" s="65"/>
      <c r="D34" s="30"/>
      <c r="E34" s="30"/>
      <c r="F34" s="30"/>
      <c r="G34" s="30"/>
      <c r="H34" s="64"/>
      <c r="I34" s="31"/>
      <c r="J34" s="30"/>
      <c r="K34" s="30"/>
      <c r="L34" s="32"/>
      <c r="M34" s="30"/>
      <c r="N34" s="30"/>
      <c r="O34" s="30"/>
    </row>
    <row r="35" spans="2:15">
      <c r="B35" s="38"/>
      <c r="C35" s="65"/>
      <c r="D35" s="30"/>
      <c r="E35" s="30"/>
      <c r="F35" s="30"/>
      <c r="G35" s="30"/>
      <c r="H35" s="64"/>
      <c r="I35" s="31"/>
      <c r="J35" s="30"/>
      <c r="K35" s="30"/>
      <c r="L35" s="32"/>
      <c r="M35" s="30"/>
      <c r="N35" s="30"/>
      <c r="O35" s="30"/>
    </row>
    <row r="36" spans="2:15">
      <c r="B36" s="38"/>
      <c r="C36" s="65"/>
      <c r="D36" s="30"/>
      <c r="E36" s="30"/>
      <c r="F36" s="30"/>
      <c r="G36" s="30"/>
      <c r="H36" s="64"/>
      <c r="I36" s="31"/>
      <c r="J36" s="30"/>
      <c r="K36" s="30"/>
      <c r="L36" s="32"/>
      <c r="M36" s="30"/>
      <c r="N36" s="30"/>
      <c r="O36" s="30"/>
    </row>
    <row r="37" spans="2:15">
      <c r="B37" s="38"/>
      <c r="C37" s="65"/>
      <c r="D37" s="30"/>
      <c r="E37" s="30"/>
      <c r="F37" s="30"/>
      <c r="G37" s="30"/>
      <c r="H37" s="64"/>
      <c r="I37" s="31"/>
      <c r="J37" s="30"/>
      <c r="K37" s="30"/>
      <c r="L37" s="32"/>
      <c r="M37" s="30"/>
      <c r="N37" s="30"/>
      <c r="O37" s="30"/>
    </row>
    <row r="38" spans="2:15">
      <c r="B38" s="38"/>
      <c r="C38" s="65"/>
      <c r="D38" s="30"/>
      <c r="E38" s="30"/>
      <c r="F38" s="30"/>
      <c r="G38" s="30"/>
      <c r="H38" s="64"/>
      <c r="I38" s="31"/>
      <c r="J38" s="30"/>
      <c r="K38" s="30"/>
      <c r="L38" s="32"/>
      <c r="M38" s="30"/>
      <c r="N38" s="30"/>
      <c r="O38" s="30"/>
    </row>
    <row r="39" spans="2:15">
      <c r="B39" s="38"/>
      <c r="C39" s="65"/>
      <c r="D39" s="30"/>
      <c r="E39" s="30"/>
      <c r="F39" s="30"/>
      <c r="G39" s="30"/>
      <c r="H39" s="64"/>
      <c r="I39" s="31"/>
      <c r="J39" s="30"/>
      <c r="K39" s="30"/>
      <c r="L39" s="32"/>
      <c r="M39" s="30"/>
      <c r="N39" s="30"/>
      <c r="O39" s="30"/>
    </row>
    <row r="40" spans="2:15">
      <c r="B40" s="38"/>
      <c r="C40" s="65"/>
      <c r="D40" s="30"/>
      <c r="E40" s="30"/>
      <c r="F40" s="30"/>
      <c r="G40" s="30"/>
      <c r="H40" s="64"/>
      <c r="I40" s="31"/>
      <c r="J40" s="30"/>
      <c r="K40" s="30"/>
      <c r="L40" s="32"/>
      <c r="M40" s="30"/>
      <c r="N40" s="30"/>
      <c r="O40" s="30"/>
    </row>
    <row r="41" spans="2:15">
      <c r="B41" s="38"/>
      <c r="C41" s="65"/>
      <c r="D41" s="30"/>
      <c r="E41" s="30"/>
      <c r="F41" s="30"/>
      <c r="G41" s="30"/>
      <c r="H41" s="64"/>
      <c r="I41" s="31"/>
      <c r="J41" s="30"/>
      <c r="K41" s="30"/>
      <c r="L41" s="32"/>
      <c r="M41" s="30"/>
      <c r="N41" s="30"/>
      <c r="O41" s="30"/>
    </row>
    <row r="42" spans="2:15">
      <c r="B42" s="38"/>
      <c r="C42" s="65"/>
      <c r="D42" s="30"/>
      <c r="E42" s="30"/>
      <c r="F42" s="30"/>
      <c r="G42" s="30"/>
      <c r="H42" s="64"/>
      <c r="I42" s="31"/>
      <c r="J42" s="30"/>
      <c r="K42" s="30"/>
      <c r="L42" s="32"/>
      <c r="M42" s="30"/>
      <c r="N42" s="30"/>
      <c r="O42" s="30"/>
    </row>
    <row r="43" spans="2:15">
      <c r="B43" s="38"/>
      <c r="C43" s="65"/>
      <c r="D43" s="30"/>
      <c r="E43" s="30"/>
      <c r="F43" s="30"/>
      <c r="G43" s="30"/>
      <c r="H43" s="64"/>
      <c r="I43" s="31"/>
      <c r="J43" s="30"/>
      <c r="K43" s="30"/>
      <c r="L43" s="32"/>
      <c r="M43" s="30"/>
      <c r="N43" s="30"/>
      <c r="O43" s="30"/>
    </row>
    <row r="44" spans="2:15">
      <c r="B44" s="38"/>
      <c r="C44" s="65"/>
      <c r="D44" s="30"/>
      <c r="E44" s="30"/>
      <c r="F44" s="30"/>
      <c r="G44" s="30"/>
      <c r="H44" s="64"/>
      <c r="I44" s="31"/>
      <c r="J44" s="30"/>
      <c r="K44" s="30"/>
      <c r="L44" s="32"/>
      <c r="M44" s="30"/>
      <c r="N44" s="30"/>
      <c r="O44" s="30"/>
    </row>
    <row r="45" spans="2:15">
      <c r="B45" s="38"/>
      <c r="C45" s="65"/>
      <c r="D45" s="30"/>
      <c r="E45" s="30"/>
      <c r="F45" s="30"/>
      <c r="G45" s="30"/>
      <c r="H45" s="64"/>
      <c r="I45" s="31"/>
      <c r="J45" s="30"/>
      <c r="K45" s="30"/>
      <c r="L45" s="32"/>
      <c r="M45" s="30"/>
      <c r="N45" s="30"/>
      <c r="O45" s="30"/>
    </row>
    <row r="46" spans="2:15">
      <c r="B46" s="38"/>
      <c r="C46" s="65"/>
      <c r="D46" s="30"/>
      <c r="E46" s="30"/>
      <c r="F46" s="30"/>
      <c r="G46" s="30"/>
      <c r="H46" s="64"/>
      <c r="I46" s="31"/>
      <c r="J46" s="30"/>
      <c r="K46" s="30"/>
      <c r="L46" s="32"/>
      <c r="M46" s="30"/>
      <c r="N46" s="30"/>
      <c r="O46" s="30"/>
    </row>
  </sheetData>
  <dataValidations count="3">
    <dataValidation type="list" allowBlank="1" showInputMessage="1" showErrorMessage="1" sqref="E9">
      <formula1>ÁREAS</formula1>
    </dataValidation>
    <dataValidation type="list" allowBlank="1" showInputMessage="1" showErrorMessage="1" sqref="G9">
      <formula1>ESTATUS</formula1>
    </dataValidation>
    <dataValidation type="list" allowBlank="1" showInputMessage="1" showErrorMessage="1" sqref="F9">
      <formula1>RESGUARDANTE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L404"/>
  <sheetViews>
    <sheetView showGridLines="0" zoomScale="90" zoomScaleNormal="90" workbookViewId="0"/>
  </sheetViews>
  <sheetFormatPr baseColWidth="10" defaultRowHeight="15"/>
  <cols>
    <col min="1" max="1" width="4.140625" customWidth="1"/>
    <col min="2" max="2" width="20.28515625" customWidth="1"/>
    <col min="3" max="3" width="30.7109375" customWidth="1"/>
    <col min="5" max="5" width="8.140625" customWidth="1"/>
    <col min="6" max="6" width="18.140625" customWidth="1"/>
    <col min="7" max="7" width="24.28515625" customWidth="1"/>
    <col min="8" max="8" width="33" customWidth="1"/>
    <col min="9" max="9" width="12.140625" customWidth="1"/>
    <col min="10" max="10" width="25.42578125" customWidth="1"/>
    <col min="11" max="11" width="19.28515625" customWidth="1"/>
    <col min="12" max="12" width="12.5703125" bestFit="1" customWidth="1"/>
  </cols>
  <sheetData>
    <row r="1" spans="2:12" ht="21" customHeight="1"/>
    <row r="2" spans="2:12" ht="23.25">
      <c r="B2" s="11" t="s">
        <v>50</v>
      </c>
      <c r="H2" s="40" t="s">
        <v>31</v>
      </c>
      <c r="I2" s="25">
        <f>SUM(Datos_de_vale_de_resguardo[Cantidad])</f>
        <v>0</v>
      </c>
      <c r="J2" s="40" t="s">
        <v>30</v>
      </c>
      <c r="K2" s="41">
        <f>SUM(Datos_de_vale_de_resguardo[Valor])</f>
        <v>0</v>
      </c>
    </row>
    <row r="3" spans="2:12" ht="37.5" customHeight="1"/>
    <row r="4" spans="2:12">
      <c r="B4" s="12" t="s">
        <v>15</v>
      </c>
      <c r="C4" s="12" t="s">
        <v>16</v>
      </c>
      <c r="D4" s="12" t="s">
        <v>27</v>
      </c>
      <c r="E4" s="12" t="s">
        <v>5</v>
      </c>
      <c r="F4" s="12" t="s">
        <v>28</v>
      </c>
      <c r="G4" s="12" t="s">
        <v>150</v>
      </c>
      <c r="H4" s="12" t="s">
        <v>0</v>
      </c>
      <c r="I4" s="12" t="s">
        <v>19</v>
      </c>
      <c r="J4" s="12" t="s">
        <v>20</v>
      </c>
      <c r="K4" s="12" t="s">
        <v>21</v>
      </c>
      <c r="L4" s="12" t="s">
        <v>2</v>
      </c>
    </row>
    <row r="5" spans="2:12" ht="12" customHeight="1">
      <c r="B5" s="59"/>
      <c r="C5" s="59"/>
      <c r="D5" s="72"/>
      <c r="E5" s="61"/>
      <c r="F5" s="59"/>
      <c r="G5" s="59"/>
      <c r="H5" s="62"/>
      <c r="I5" s="61"/>
      <c r="J5" s="61"/>
      <c r="K5" s="84"/>
      <c r="L5" s="63"/>
    </row>
    <row r="6" spans="2:12" ht="12" customHeight="1">
      <c r="B6" s="59"/>
      <c r="C6" s="59"/>
      <c r="D6" s="72"/>
      <c r="E6" s="61"/>
      <c r="F6" s="59"/>
      <c r="G6" s="59"/>
      <c r="H6" s="62"/>
      <c r="I6" s="61"/>
      <c r="J6" s="61"/>
      <c r="K6" s="84"/>
      <c r="L6" s="63"/>
    </row>
    <row r="7" spans="2:12" ht="12" customHeight="1">
      <c r="B7" s="59"/>
      <c r="C7" s="59"/>
      <c r="D7" s="72"/>
      <c r="E7" s="61"/>
      <c r="F7" s="59"/>
      <c r="G7" s="59"/>
      <c r="H7" s="62"/>
      <c r="I7" s="61"/>
      <c r="J7" s="61"/>
      <c r="K7" s="84"/>
      <c r="L7" s="63"/>
    </row>
    <row r="8" spans="2:12" ht="12" customHeight="1">
      <c r="B8" s="59"/>
      <c r="C8" s="59"/>
      <c r="D8" s="72"/>
      <c r="E8" s="61"/>
      <c r="F8" s="59"/>
      <c r="G8" s="59"/>
      <c r="H8" s="62"/>
      <c r="I8" s="61"/>
      <c r="J8" s="61"/>
      <c r="K8" s="84"/>
      <c r="L8" s="63"/>
    </row>
    <row r="9" spans="2:12" ht="12" customHeight="1">
      <c r="B9" s="59"/>
      <c r="C9" s="59"/>
      <c r="D9" s="72"/>
      <c r="E9" s="61"/>
      <c r="F9" s="59"/>
      <c r="G9" s="59"/>
      <c r="H9" s="62"/>
      <c r="I9" s="61"/>
      <c r="J9" s="61"/>
      <c r="K9" s="84"/>
      <c r="L9" s="63"/>
    </row>
    <row r="10" spans="2:12" ht="12" customHeight="1">
      <c r="B10" s="59"/>
      <c r="C10" s="59"/>
      <c r="D10" s="72"/>
      <c r="E10" s="61"/>
      <c r="F10" s="59"/>
      <c r="G10" s="59"/>
      <c r="H10" s="62"/>
      <c r="I10" s="61"/>
      <c r="J10" s="61"/>
      <c r="K10" s="84"/>
      <c r="L10" s="63"/>
    </row>
    <row r="11" spans="2:12" ht="12" customHeight="1">
      <c r="B11" s="59"/>
      <c r="C11" s="59"/>
      <c r="D11" s="72"/>
      <c r="E11" s="61"/>
      <c r="F11" s="59"/>
      <c r="G11" s="59"/>
      <c r="H11" s="62"/>
      <c r="I11" s="61"/>
      <c r="J11" s="61"/>
      <c r="K11" s="84"/>
      <c r="L11" s="63"/>
    </row>
    <row r="12" spans="2:12" ht="12" customHeight="1">
      <c r="B12" s="59"/>
      <c r="C12" s="59"/>
      <c r="D12" s="72"/>
      <c r="E12" s="61"/>
      <c r="F12" s="59"/>
      <c r="G12" s="59"/>
      <c r="H12" s="62"/>
      <c r="I12" s="61"/>
      <c r="J12" s="61"/>
      <c r="K12" s="84"/>
      <c r="L12" s="63"/>
    </row>
    <row r="13" spans="2:12" ht="12" customHeight="1">
      <c r="B13" s="59"/>
      <c r="C13" s="59"/>
      <c r="D13" s="72"/>
      <c r="E13" s="61"/>
      <c r="F13" s="59"/>
      <c r="G13" s="59"/>
      <c r="H13" s="62"/>
      <c r="I13" s="61"/>
      <c r="J13" s="61"/>
      <c r="K13" s="84"/>
      <c r="L13" s="63"/>
    </row>
    <row r="14" spans="2:12" ht="12" customHeight="1">
      <c r="B14" s="59"/>
      <c r="C14" s="59"/>
      <c r="D14" s="72"/>
      <c r="E14" s="61"/>
      <c r="F14" s="59"/>
      <c r="G14" s="59"/>
      <c r="H14" s="62"/>
      <c r="I14" s="61"/>
      <c r="J14" s="61"/>
      <c r="K14" s="84"/>
      <c r="L14" s="63"/>
    </row>
    <row r="15" spans="2:12" ht="12" customHeight="1">
      <c r="B15" s="59"/>
      <c r="C15" s="59"/>
      <c r="D15" s="72"/>
      <c r="E15" s="61"/>
      <c r="F15" s="59"/>
      <c r="G15" s="59"/>
      <c r="H15" s="62"/>
      <c r="I15" s="61"/>
      <c r="J15" s="61"/>
      <c r="K15" s="84"/>
      <c r="L15" s="63"/>
    </row>
    <row r="16" spans="2:12" ht="12" customHeight="1">
      <c r="B16" s="59"/>
      <c r="C16" s="59"/>
      <c r="D16" s="72"/>
      <c r="E16" s="61"/>
      <c r="F16" s="59"/>
      <c r="G16" s="59"/>
      <c r="H16" s="62"/>
      <c r="I16" s="61"/>
      <c r="J16" s="61"/>
      <c r="K16" s="84"/>
      <c r="L16" s="63"/>
    </row>
    <row r="17" spans="2:12" ht="12" customHeight="1">
      <c r="B17" s="59"/>
      <c r="C17" s="59"/>
      <c r="D17" s="72"/>
      <c r="E17" s="61"/>
      <c r="F17" s="59"/>
      <c r="G17" s="59"/>
      <c r="H17" s="62"/>
      <c r="I17" s="61"/>
      <c r="J17" s="61"/>
      <c r="K17" s="84"/>
      <c r="L17" s="63"/>
    </row>
    <row r="18" spans="2:12" ht="12" customHeight="1">
      <c r="B18" s="59"/>
      <c r="C18" s="59"/>
      <c r="D18" s="72"/>
      <c r="E18" s="61"/>
      <c r="F18" s="59"/>
      <c r="G18" s="59"/>
      <c r="H18" s="62"/>
      <c r="I18" s="61"/>
      <c r="J18" s="61"/>
      <c r="K18" s="84"/>
      <c r="L18" s="63"/>
    </row>
    <row r="19" spans="2:12" ht="12" customHeight="1">
      <c r="B19" s="59"/>
      <c r="C19" s="59"/>
      <c r="D19" s="72"/>
      <c r="E19" s="61"/>
      <c r="F19" s="59"/>
      <c r="G19" s="59"/>
      <c r="H19" s="62"/>
      <c r="I19" s="61"/>
      <c r="J19" s="61"/>
      <c r="K19" s="84"/>
      <c r="L19" s="63"/>
    </row>
    <row r="20" spans="2:12" ht="12" customHeight="1">
      <c r="B20" s="59"/>
      <c r="C20" s="59"/>
      <c r="D20" s="72"/>
      <c r="E20" s="61"/>
      <c r="F20" s="59"/>
      <c r="G20" s="59"/>
      <c r="H20" s="62"/>
      <c r="I20" s="61"/>
      <c r="J20" s="61"/>
      <c r="K20" s="84"/>
      <c r="L20" s="63"/>
    </row>
    <row r="21" spans="2:12" ht="12" customHeight="1">
      <c r="B21" s="59"/>
      <c r="C21" s="59"/>
      <c r="D21" s="72"/>
      <c r="E21" s="61"/>
      <c r="F21" s="59"/>
      <c r="G21" s="59"/>
      <c r="H21" s="62"/>
      <c r="I21" s="61"/>
      <c r="J21" s="61"/>
      <c r="K21" s="84"/>
      <c r="L21" s="63"/>
    </row>
    <row r="22" spans="2:12" ht="12" customHeight="1">
      <c r="B22" s="59"/>
      <c r="C22" s="59"/>
      <c r="D22" s="72"/>
      <c r="E22" s="61"/>
      <c r="F22" s="59"/>
      <c r="G22" s="59"/>
      <c r="H22" s="62"/>
      <c r="I22" s="61"/>
      <c r="J22" s="61"/>
      <c r="K22" s="84"/>
      <c r="L22" s="63"/>
    </row>
    <row r="23" spans="2:12" ht="12" customHeight="1">
      <c r="B23" s="59"/>
      <c r="C23" s="59"/>
      <c r="D23" s="72"/>
      <c r="E23" s="61"/>
      <c r="F23" s="59"/>
      <c r="G23" s="59"/>
      <c r="H23" s="62"/>
      <c r="I23" s="61"/>
      <c r="J23" s="61"/>
      <c r="K23" s="84"/>
      <c r="L23" s="63"/>
    </row>
    <row r="24" spans="2:12" ht="12" customHeight="1">
      <c r="B24" s="59"/>
      <c r="C24" s="59"/>
      <c r="D24" s="72"/>
      <c r="E24" s="61"/>
      <c r="F24" s="59"/>
      <c r="G24" s="59"/>
      <c r="H24" s="62"/>
      <c r="I24" s="61"/>
      <c r="J24" s="61"/>
      <c r="K24" s="84"/>
      <c r="L24" s="63"/>
    </row>
    <row r="25" spans="2:12" ht="12" customHeight="1">
      <c r="B25" s="59"/>
      <c r="C25" s="59"/>
      <c r="D25" s="72"/>
      <c r="E25" s="61"/>
      <c r="F25" s="59"/>
      <c r="G25" s="59"/>
      <c r="H25" s="62"/>
      <c r="I25" s="61"/>
      <c r="J25" s="61"/>
      <c r="K25" s="84"/>
      <c r="L25" s="63"/>
    </row>
    <row r="26" spans="2:12" ht="12" customHeight="1">
      <c r="B26" s="59"/>
      <c r="C26" s="59"/>
      <c r="D26" s="72"/>
      <c r="E26" s="61"/>
      <c r="F26" s="59"/>
      <c r="G26" s="59"/>
      <c r="H26" s="62"/>
      <c r="I26" s="61"/>
      <c r="J26" s="61"/>
      <c r="K26" s="84"/>
      <c r="L26" s="63"/>
    </row>
    <row r="27" spans="2:12" ht="12" customHeight="1">
      <c r="B27" s="59"/>
      <c r="C27" s="59"/>
      <c r="D27" s="72"/>
      <c r="E27" s="61"/>
      <c r="F27" s="59"/>
      <c r="G27" s="59"/>
      <c r="H27" s="62"/>
      <c r="I27" s="61"/>
      <c r="J27" s="61"/>
      <c r="K27" s="84"/>
      <c r="L27" s="63"/>
    </row>
    <row r="28" spans="2:12" ht="12" customHeight="1">
      <c r="B28" s="59"/>
      <c r="C28" s="59"/>
      <c r="D28" s="72"/>
      <c r="E28" s="61"/>
      <c r="F28" s="59"/>
      <c r="G28" s="59"/>
      <c r="H28" s="62"/>
      <c r="I28" s="61"/>
      <c r="J28" s="61"/>
      <c r="K28" s="84"/>
      <c r="L28" s="63"/>
    </row>
    <row r="29" spans="2:12" ht="12" customHeight="1">
      <c r="B29" s="59"/>
      <c r="C29" s="59"/>
      <c r="D29" s="72"/>
      <c r="E29" s="61"/>
      <c r="F29" s="59"/>
      <c r="G29" s="59"/>
      <c r="H29" s="62"/>
      <c r="I29" s="61"/>
      <c r="J29" s="61"/>
      <c r="K29" s="84"/>
      <c r="L29" s="63"/>
    </row>
    <row r="30" spans="2:12" ht="12" customHeight="1">
      <c r="B30" s="59"/>
      <c r="C30" s="59"/>
      <c r="D30" s="72"/>
      <c r="E30" s="61"/>
      <c r="F30" s="59"/>
      <c r="G30" s="59"/>
      <c r="H30" s="62"/>
      <c r="I30" s="61"/>
      <c r="J30" s="61"/>
      <c r="K30" s="84"/>
      <c r="L30" s="63"/>
    </row>
    <row r="31" spans="2:12" ht="12" customHeight="1">
      <c r="B31" s="59"/>
      <c r="C31" s="59"/>
      <c r="D31" s="72"/>
      <c r="E31" s="61"/>
      <c r="F31" s="59"/>
      <c r="G31" s="59"/>
      <c r="H31" s="62"/>
      <c r="I31" s="61"/>
      <c r="J31" s="61"/>
      <c r="K31" s="84"/>
      <c r="L31" s="63"/>
    </row>
    <row r="32" spans="2:12" ht="12" customHeight="1">
      <c r="B32" s="59"/>
      <c r="C32" s="59"/>
      <c r="D32" s="72"/>
      <c r="E32" s="61"/>
      <c r="F32" s="59"/>
      <c r="G32" s="59"/>
      <c r="H32" s="62"/>
      <c r="I32" s="61"/>
      <c r="J32" s="61"/>
      <c r="K32" s="84"/>
      <c r="L32" s="63"/>
    </row>
    <row r="33" spans="2:12" ht="12" customHeight="1">
      <c r="B33" s="59"/>
      <c r="C33" s="59"/>
      <c r="D33" s="72"/>
      <c r="E33" s="61"/>
      <c r="F33" s="59"/>
      <c r="G33" s="59"/>
      <c r="H33" s="62"/>
      <c r="I33" s="61"/>
      <c r="J33" s="61"/>
      <c r="K33" s="84"/>
      <c r="L33" s="63"/>
    </row>
    <row r="34" spans="2:12" ht="12" customHeight="1">
      <c r="B34" s="59"/>
      <c r="C34" s="59"/>
      <c r="D34" s="72"/>
      <c r="E34" s="61"/>
      <c r="F34" s="59"/>
      <c r="G34" s="59"/>
      <c r="H34" s="62"/>
      <c r="I34" s="61"/>
      <c r="J34" s="61"/>
      <c r="K34" s="84"/>
      <c r="L34" s="63"/>
    </row>
    <row r="35" spans="2:12" ht="12" customHeight="1">
      <c r="B35" s="59"/>
      <c r="C35" s="59"/>
      <c r="D35" s="72"/>
      <c r="E35" s="61"/>
      <c r="F35" s="59"/>
      <c r="G35" s="59"/>
      <c r="H35" s="62"/>
      <c r="I35" s="61"/>
      <c r="J35" s="61"/>
      <c r="K35" s="84"/>
      <c r="L35" s="63"/>
    </row>
    <row r="36" spans="2:12" ht="12" customHeight="1">
      <c r="B36" s="59"/>
      <c r="C36" s="59"/>
      <c r="D36" s="72"/>
      <c r="E36" s="61"/>
      <c r="F36" s="59"/>
      <c r="G36" s="59"/>
      <c r="H36" s="62"/>
      <c r="I36" s="61"/>
      <c r="J36" s="61"/>
      <c r="K36" s="84"/>
      <c r="L36" s="63"/>
    </row>
    <row r="37" spans="2:12" ht="12" customHeight="1">
      <c r="B37" s="59"/>
      <c r="C37" s="59"/>
      <c r="D37" s="72"/>
      <c r="E37" s="61"/>
      <c r="F37" s="59"/>
      <c r="G37" s="59"/>
      <c r="H37" s="62"/>
      <c r="I37" s="61"/>
      <c r="J37" s="61"/>
      <c r="K37" s="84"/>
      <c r="L37" s="63"/>
    </row>
    <row r="38" spans="2:12" ht="12" customHeight="1">
      <c r="B38" s="59"/>
      <c r="C38" s="59"/>
      <c r="D38" s="72"/>
      <c r="E38" s="61"/>
      <c r="F38" s="59"/>
      <c r="G38" s="59"/>
      <c r="H38" s="62"/>
      <c r="I38" s="61"/>
      <c r="J38" s="61"/>
      <c r="K38" s="84"/>
      <c r="L38" s="63"/>
    </row>
    <row r="39" spans="2:12" ht="12" customHeight="1">
      <c r="B39" s="59"/>
      <c r="C39" s="59"/>
      <c r="D39" s="72"/>
      <c r="E39" s="61"/>
      <c r="F39" s="59"/>
      <c r="G39" s="59"/>
      <c r="H39" s="62"/>
      <c r="I39" s="61"/>
      <c r="J39" s="61"/>
      <c r="K39" s="84"/>
      <c r="L39" s="63"/>
    </row>
    <row r="40" spans="2:12" ht="12" customHeight="1">
      <c r="B40" s="59"/>
      <c r="C40" s="59"/>
      <c r="D40" s="72"/>
      <c r="E40" s="61"/>
      <c r="F40" s="59"/>
      <c r="G40" s="59"/>
      <c r="H40" s="62"/>
      <c r="I40" s="61"/>
      <c r="J40" s="61"/>
      <c r="K40" s="84"/>
      <c r="L40" s="63"/>
    </row>
    <row r="41" spans="2:12" ht="12" customHeight="1">
      <c r="B41" s="59"/>
      <c r="C41" s="59"/>
      <c r="D41" s="72"/>
      <c r="E41" s="61"/>
      <c r="F41" s="59"/>
      <c r="G41" s="59"/>
      <c r="H41" s="62"/>
      <c r="I41" s="61"/>
      <c r="J41" s="61"/>
      <c r="K41" s="84"/>
      <c r="L41" s="63"/>
    </row>
    <row r="42" spans="2:12" ht="12" customHeight="1">
      <c r="B42" s="59"/>
      <c r="C42" s="59"/>
      <c r="D42" s="72"/>
      <c r="E42" s="61"/>
      <c r="F42" s="59"/>
      <c r="G42" s="59"/>
      <c r="H42" s="62"/>
      <c r="I42" s="61"/>
      <c r="J42" s="61"/>
      <c r="K42" s="84"/>
      <c r="L42" s="63"/>
    </row>
    <row r="43" spans="2:12" ht="12" customHeight="1">
      <c r="B43" s="59"/>
      <c r="C43" s="59"/>
      <c r="D43" s="72"/>
      <c r="E43" s="61"/>
      <c r="F43" s="59"/>
      <c r="G43" s="59"/>
      <c r="H43" s="62"/>
      <c r="I43" s="61"/>
      <c r="J43" s="61"/>
      <c r="K43" s="84"/>
      <c r="L43" s="63"/>
    </row>
    <row r="44" spans="2:12" ht="12" customHeight="1">
      <c r="B44" s="59"/>
      <c r="C44" s="59"/>
      <c r="D44" s="72"/>
      <c r="E44" s="61"/>
      <c r="F44" s="59"/>
      <c r="G44" s="59"/>
      <c r="H44" s="62"/>
      <c r="I44" s="61"/>
      <c r="J44" s="61"/>
      <c r="K44" s="84"/>
      <c r="L44" s="63"/>
    </row>
    <row r="45" spans="2:12" ht="12" customHeight="1">
      <c r="B45" s="59"/>
      <c r="C45" s="59"/>
      <c r="D45" s="72"/>
      <c r="E45" s="61"/>
      <c r="F45" s="59"/>
      <c r="G45" s="59"/>
      <c r="H45" s="62"/>
      <c r="I45" s="61"/>
      <c r="J45" s="61"/>
      <c r="K45" s="84"/>
      <c r="L45" s="63"/>
    </row>
    <row r="46" spans="2:12" ht="12" customHeight="1">
      <c r="B46" s="59"/>
      <c r="C46" s="59"/>
      <c r="D46" s="72"/>
      <c r="E46" s="61"/>
      <c r="F46" s="59"/>
      <c r="G46" s="59"/>
      <c r="H46" s="62"/>
      <c r="I46" s="61"/>
      <c r="J46" s="61"/>
      <c r="K46" s="84"/>
      <c r="L46" s="63"/>
    </row>
    <row r="47" spans="2:12" ht="12" customHeight="1">
      <c r="B47" s="59"/>
      <c r="C47" s="59"/>
      <c r="D47" s="72"/>
      <c r="E47" s="61"/>
      <c r="F47" s="59"/>
      <c r="G47" s="59"/>
      <c r="H47" s="62"/>
      <c r="I47" s="61"/>
      <c r="J47" s="61"/>
      <c r="K47" s="84"/>
      <c r="L47" s="63"/>
    </row>
    <row r="48" spans="2:12" ht="12" customHeight="1">
      <c r="B48" s="59"/>
      <c r="C48" s="59"/>
      <c r="D48" s="72"/>
      <c r="E48" s="61"/>
      <c r="F48" s="59"/>
      <c r="G48" s="59"/>
      <c r="H48" s="62"/>
      <c r="I48" s="61"/>
      <c r="J48" s="61"/>
      <c r="K48" s="84"/>
      <c r="L48" s="63"/>
    </row>
    <row r="49" spans="2:12" ht="12" customHeight="1">
      <c r="B49" s="59"/>
      <c r="C49" s="59"/>
      <c r="D49" s="72"/>
      <c r="E49" s="61"/>
      <c r="F49" s="59"/>
      <c r="G49" s="59"/>
      <c r="H49" s="62"/>
      <c r="I49" s="61"/>
      <c r="J49" s="61"/>
      <c r="K49" s="84"/>
      <c r="L49" s="63"/>
    </row>
    <row r="50" spans="2:12" ht="12" customHeight="1">
      <c r="B50" s="59"/>
      <c r="C50" s="59"/>
      <c r="D50" s="72"/>
      <c r="E50" s="61"/>
      <c r="F50" s="59"/>
      <c r="G50" s="59"/>
      <c r="H50" s="62"/>
      <c r="I50" s="61"/>
      <c r="J50" s="61"/>
      <c r="K50" s="84"/>
      <c r="L50" s="63"/>
    </row>
    <row r="51" spans="2:12" ht="12" customHeight="1">
      <c r="B51" s="59"/>
      <c r="C51" s="59"/>
      <c r="D51" s="72"/>
      <c r="E51" s="61"/>
      <c r="F51" s="59"/>
      <c r="G51" s="59"/>
      <c r="H51" s="62"/>
      <c r="I51" s="61"/>
      <c r="J51" s="61"/>
      <c r="K51" s="84"/>
      <c r="L51" s="63"/>
    </row>
    <row r="52" spans="2:12" ht="12" customHeight="1">
      <c r="B52" s="59"/>
      <c r="C52" s="59"/>
      <c r="D52" s="72"/>
      <c r="E52" s="61"/>
      <c r="F52" s="59"/>
      <c r="G52" s="59"/>
      <c r="H52" s="62"/>
      <c r="I52" s="61"/>
      <c r="J52" s="61"/>
      <c r="K52" s="84"/>
      <c r="L52" s="63"/>
    </row>
    <row r="53" spans="2:12" ht="12" customHeight="1">
      <c r="B53" s="59"/>
      <c r="C53" s="59"/>
      <c r="D53" s="72"/>
      <c r="E53" s="61"/>
      <c r="F53" s="59"/>
      <c r="G53" s="59"/>
      <c r="H53" s="62"/>
      <c r="I53" s="61"/>
      <c r="J53" s="61"/>
      <c r="K53" s="84"/>
      <c r="L53" s="63"/>
    </row>
    <row r="54" spans="2:12" ht="12" customHeight="1">
      <c r="B54" s="59"/>
      <c r="C54" s="59"/>
      <c r="D54" s="72"/>
      <c r="E54" s="61"/>
      <c r="F54" s="59"/>
      <c r="G54" s="59"/>
      <c r="H54" s="62"/>
      <c r="I54" s="61"/>
      <c r="J54" s="61"/>
      <c r="K54" s="84"/>
      <c r="L54" s="63"/>
    </row>
    <row r="55" spans="2:12" ht="12" customHeight="1">
      <c r="B55" s="59"/>
      <c r="C55" s="59"/>
      <c r="D55" s="72"/>
      <c r="E55" s="61"/>
      <c r="F55" s="59"/>
      <c r="G55" s="59"/>
      <c r="H55" s="62"/>
      <c r="I55" s="61"/>
      <c r="J55" s="61"/>
      <c r="K55" s="84"/>
      <c r="L55" s="63"/>
    </row>
    <row r="56" spans="2:12" ht="12" customHeight="1">
      <c r="B56" s="59"/>
      <c r="C56" s="59"/>
      <c r="D56" s="72"/>
      <c r="E56" s="61"/>
      <c r="F56" s="59"/>
      <c r="G56" s="59"/>
      <c r="H56" s="62"/>
      <c r="I56" s="61"/>
      <c r="J56" s="61"/>
      <c r="K56" s="84"/>
      <c r="L56" s="63"/>
    </row>
    <row r="57" spans="2:12" ht="12" customHeight="1">
      <c r="B57" s="59"/>
      <c r="C57" s="59"/>
      <c r="D57" s="72"/>
      <c r="E57" s="61"/>
      <c r="F57" s="59"/>
      <c r="G57" s="59"/>
      <c r="H57" s="62"/>
      <c r="I57" s="61"/>
      <c r="J57" s="61"/>
      <c r="K57" s="84"/>
      <c r="L57" s="63"/>
    </row>
    <row r="58" spans="2:12" ht="12" customHeight="1">
      <c r="B58" s="59"/>
      <c r="C58" s="59"/>
      <c r="D58" s="72"/>
      <c r="E58" s="61"/>
      <c r="F58" s="59"/>
      <c r="G58" s="59"/>
      <c r="H58" s="62"/>
      <c r="I58" s="61"/>
      <c r="J58" s="61"/>
      <c r="K58" s="84"/>
      <c r="L58" s="63"/>
    </row>
    <row r="59" spans="2:12" ht="12" customHeight="1">
      <c r="B59" s="59"/>
      <c r="C59" s="59"/>
      <c r="D59" s="72"/>
      <c r="E59" s="61"/>
      <c r="F59" s="59"/>
      <c r="G59" s="59"/>
      <c r="H59" s="62"/>
      <c r="I59" s="61"/>
      <c r="J59" s="61"/>
      <c r="K59" s="84"/>
      <c r="L59" s="63"/>
    </row>
    <row r="60" spans="2:12" ht="12" customHeight="1">
      <c r="B60" s="59"/>
      <c r="C60" s="59"/>
      <c r="D60" s="72"/>
      <c r="E60" s="61"/>
      <c r="F60" s="59"/>
      <c r="G60" s="59"/>
      <c r="H60" s="62"/>
      <c r="I60" s="61"/>
      <c r="J60" s="61"/>
      <c r="K60" s="84"/>
      <c r="L60" s="63"/>
    </row>
    <row r="61" spans="2:12" ht="12" customHeight="1">
      <c r="B61" s="59"/>
      <c r="C61" s="59"/>
      <c r="D61" s="72"/>
      <c r="E61" s="61"/>
      <c r="F61" s="59"/>
      <c r="G61" s="59"/>
      <c r="H61" s="62"/>
      <c r="I61" s="61"/>
      <c r="J61" s="61"/>
      <c r="K61" s="84"/>
      <c r="L61" s="63"/>
    </row>
    <row r="62" spans="2:12" ht="12" customHeight="1">
      <c r="B62" s="59"/>
      <c r="C62" s="59"/>
      <c r="D62" s="72"/>
      <c r="E62" s="61"/>
      <c r="F62" s="59"/>
      <c r="G62" s="59"/>
      <c r="H62" s="62"/>
      <c r="I62" s="61"/>
      <c r="J62" s="61"/>
      <c r="K62" s="84"/>
      <c r="L62" s="63"/>
    </row>
    <row r="63" spans="2:12" ht="12" customHeight="1">
      <c r="B63" s="59"/>
      <c r="C63" s="59"/>
      <c r="D63" s="72"/>
      <c r="E63" s="61"/>
      <c r="F63" s="59"/>
      <c r="G63" s="59"/>
      <c r="H63" s="62"/>
      <c r="I63" s="61"/>
      <c r="J63" s="61"/>
      <c r="K63" s="84"/>
      <c r="L63" s="63"/>
    </row>
    <row r="64" spans="2:12" ht="12" customHeight="1">
      <c r="B64" s="59"/>
      <c r="C64" s="59"/>
      <c r="D64" s="72"/>
      <c r="E64" s="61"/>
      <c r="F64" s="59"/>
      <c r="G64" s="59"/>
      <c r="H64" s="62"/>
      <c r="I64" s="61"/>
      <c r="J64" s="61"/>
      <c r="K64" s="84"/>
      <c r="L64" s="63"/>
    </row>
    <row r="65" spans="2:12" ht="12" customHeight="1">
      <c r="B65" s="59"/>
      <c r="C65" s="59"/>
      <c r="D65" s="72"/>
      <c r="E65" s="61"/>
      <c r="F65" s="59"/>
      <c r="G65" s="59"/>
      <c r="H65" s="62"/>
      <c r="I65" s="61"/>
      <c r="J65" s="61"/>
      <c r="K65" s="84"/>
      <c r="L65" s="63"/>
    </row>
    <row r="66" spans="2:12" ht="12" customHeight="1">
      <c r="B66" s="59"/>
      <c r="C66" s="59"/>
      <c r="D66" s="72"/>
      <c r="E66" s="61"/>
      <c r="F66" s="59"/>
      <c r="G66" s="59"/>
      <c r="H66" s="62"/>
      <c r="I66" s="61"/>
      <c r="J66" s="61"/>
      <c r="K66" s="84"/>
      <c r="L66" s="63"/>
    </row>
    <row r="67" spans="2:12" ht="12" customHeight="1">
      <c r="B67" s="59"/>
      <c r="C67" s="59"/>
      <c r="D67" s="72"/>
      <c r="E67" s="61"/>
      <c r="F67" s="59"/>
      <c r="G67" s="59"/>
      <c r="H67" s="62"/>
      <c r="I67" s="61"/>
      <c r="J67" s="61"/>
      <c r="K67" s="84"/>
      <c r="L67" s="63"/>
    </row>
    <row r="68" spans="2:12" ht="12" customHeight="1">
      <c r="B68" s="59"/>
      <c r="C68" s="59"/>
      <c r="D68" s="72"/>
      <c r="E68" s="61"/>
      <c r="F68" s="59"/>
      <c r="G68" s="59"/>
      <c r="H68" s="62"/>
      <c r="I68" s="61"/>
      <c r="J68" s="61"/>
      <c r="K68" s="84"/>
      <c r="L68" s="63"/>
    </row>
    <row r="69" spans="2:12" ht="12" customHeight="1">
      <c r="B69" s="59"/>
      <c r="C69" s="59"/>
      <c r="D69" s="72"/>
      <c r="E69" s="61"/>
      <c r="F69" s="59"/>
      <c r="G69" s="59"/>
      <c r="H69" s="62"/>
      <c r="I69" s="61"/>
      <c r="J69" s="61"/>
      <c r="K69" s="84"/>
      <c r="L69" s="63"/>
    </row>
    <row r="70" spans="2:12" ht="12" customHeight="1">
      <c r="B70" s="59"/>
      <c r="C70" s="59"/>
      <c r="D70" s="72"/>
      <c r="E70" s="61"/>
      <c r="F70" s="59"/>
      <c r="G70" s="59"/>
      <c r="H70" s="62"/>
      <c r="I70" s="61"/>
      <c r="J70" s="61"/>
      <c r="K70" s="84"/>
      <c r="L70" s="63"/>
    </row>
    <row r="71" spans="2:12" ht="12" customHeight="1">
      <c r="B71" s="59"/>
      <c r="C71" s="59"/>
      <c r="D71" s="72"/>
      <c r="E71" s="61"/>
      <c r="F71" s="59"/>
      <c r="G71" s="59"/>
      <c r="H71" s="62"/>
      <c r="I71" s="61"/>
      <c r="J71" s="61"/>
      <c r="K71" s="84"/>
      <c r="L71" s="63"/>
    </row>
    <row r="72" spans="2:12" ht="12" customHeight="1">
      <c r="B72" s="59"/>
      <c r="C72" s="59"/>
      <c r="D72" s="72"/>
      <c r="E72" s="61"/>
      <c r="F72" s="59"/>
      <c r="G72" s="59"/>
      <c r="H72" s="62"/>
      <c r="I72" s="61"/>
      <c r="J72" s="61"/>
      <c r="K72" s="84"/>
      <c r="L72" s="63"/>
    </row>
    <row r="73" spans="2:12" ht="12" customHeight="1">
      <c r="B73" s="59"/>
      <c r="C73" s="59"/>
      <c r="D73" s="72"/>
      <c r="E73" s="61"/>
      <c r="F73" s="59"/>
      <c r="G73" s="59"/>
      <c r="H73" s="62"/>
      <c r="I73" s="61"/>
      <c r="J73" s="61"/>
      <c r="K73" s="84"/>
      <c r="L73" s="63"/>
    </row>
    <row r="74" spans="2:12" ht="12" customHeight="1">
      <c r="B74" s="59"/>
      <c r="C74" s="59"/>
      <c r="D74" s="72"/>
      <c r="E74" s="61"/>
      <c r="F74" s="59"/>
      <c r="G74" s="59"/>
      <c r="H74" s="62"/>
      <c r="I74" s="61"/>
      <c r="J74" s="61"/>
      <c r="K74" s="84"/>
      <c r="L74" s="63"/>
    </row>
    <row r="75" spans="2:12" ht="12" customHeight="1">
      <c r="B75" s="59"/>
      <c r="C75" s="59"/>
      <c r="D75" s="72"/>
      <c r="E75" s="61"/>
      <c r="F75" s="59"/>
      <c r="G75" s="59"/>
      <c r="H75" s="62"/>
      <c r="I75" s="61"/>
      <c r="J75" s="61"/>
      <c r="K75" s="84"/>
      <c r="L75" s="63"/>
    </row>
    <row r="76" spans="2:12" ht="12" customHeight="1">
      <c r="B76" s="59"/>
      <c r="C76" s="59"/>
      <c r="D76" s="72"/>
      <c r="E76" s="61"/>
      <c r="F76" s="59"/>
      <c r="G76" s="59"/>
      <c r="H76" s="62"/>
      <c r="I76" s="61"/>
      <c r="J76" s="61"/>
      <c r="K76" s="84"/>
      <c r="L76" s="63"/>
    </row>
    <row r="77" spans="2:12" ht="12" customHeight="1">
      <c r="B77" s="59"/>
      <c r="C77" s="59"/>
      <c r="D77" s="72"/>
      <c r="E77" s="61"/>
      <c r="F77" s="59"/>
      <c r="G77" s="59"/>
      <c r="H77" s="62"/>
      <c r="I77" s="61"/>
      <c r="J77" s="61"/>
      <c r="K77" s="84"/>
      <c r="L77" s="63"/>
    </row>
    <row r="78" spans="2:12" ht="12" customHeight="1">
      <c r="B78" s="59"/>
      <c r="C78" s="59"/>
      <c r="D78" s="72"/>
      <c r="E78" s="61"/>
      <c r="F78" s="59"/>
      <c r="G78" s="59"/>
      <c r="H78" s="62"/>
      <c r="I78" s="61"/>
      <c r="J78" s="61"/>
      <c r="K78" s="84"/>
      <c r="L78" s="63"/>
    </row>
    <row r="79" spans="2:12" ht="12" customHeight="1">
      <c r="B79" s="59"/>
      <c r="C79" s="59"/>
      <c r="D79" s="72"/>
      <c r="E79" s="61"/>
      <c r="F79" s="59"/>
      <c r="G79" s="59"/>
      <c r="H79" s="62"/>
      <c r="I79" s="61"/>
      <c r="J79" s="61"/>
      <c r="K79" s="84"/>
      <c r="L79" s="63"/>
    </row>
    <row r="80" spans="2:12" ht="12" customHeight="1">
      <c r="B80" s="59"/>
      <c r="C80" s="59"/>
      <c r="D80" s="72"/>
      <c r="E80" s="61"/>
      <c r="F80" s="59"/>
      <c r="G80" s="59"/>
      <c r="H80" s="62"/>
      <c r="I80" s="61"/>
      <c r="J80" s="61"/>
      <c r="K80" s="84"/>
      <c r="L80" s="63"/>
    </row>
    <row r="81" spans="2:12" ht="12" customHeight="1">
      <c r="B81" s="59"/>
      <c r="C81" s="59"/>
      <c r="D81" s="72"/>
      <c r="E81" s="61"/>
      <c r="F81" s="59"/>
      <c r="G81" s="59"/>
      <c r="H81" s="62"/>
      <c r="I81" s="61"/>
      <c r="J81" s="61"/>
      <c r="K81" s="84"/>
      <c r="L81" s="63"/>
    </row>
    <row r="82" spans="2:12" ht="12" customHeight="1">
      <c r="B82" s="59"/>
      <c r="C82" s="59"/>
      <c r="D82" s="72"/>
      <c r="E82" s="61"/>
      <c r="F82" s="59"/>
      <c r="G82" s="59"/>
      <c r="H82" s="62"/>
      <c r="I82" s="61"/>
      <c r="J82" s="61"/>
      <c r="K82" s="84"/>
      <c r="L82" s="63"/>
    </row>
    <row r="83" spans="2:12" ht="12" customHeight="1">
      <c r="B83" s="59"/>
      <c r="C83" s="59"/>
      <c r="D83" s="72"/>
      <c r="E83" s="61"/>
      <c r="F83" s="59"/>
      <c r="G83" s="59"/>
      <c r="H83" s="62"/>
      <c r="I83" s="61"/>
      <c r="J83" s="61"/>
      <c r="K83" s="84"/>
      <c r="L83" s="63"/>
    </row>
    <row r="84" spans="2:12" ht="12" customHeight="1">
      <c r="B84" s="59"/>
      <c r="C84" s="59"/>
      <c r="D84" s="72"/>
      <c r="E84" s="61"/>
      <c r="F84" s="59"/>
      <c r="G84" s="59"/>
      <c r="H84" s="62"/>
      <c r="I84" s="61"/>
      <c r="J84" s="61"/>
      <c r="K84" s="84"/>
      <c r="L84" s="63"/>
    </row>
    <row r="85" spans="2:12" ht="12" customHeight="1">
      <c r="B85" s="59"/>
      <c r="C85" s="59"/>
      <c r="D85" s="72"/>
      <c r="E85" s="61"/>
      <c r="F85" s="59"/>
      <c r="G85" s="59"/>
      <c r="H85" s="62"/>
      <c r="I85" s="61"/>
      <c r="J85" s="61"/>
      <c r="K85" s="84"/>
      <c r="L85" s="63"/>
    </row>
    <row r="86" spans="2:12" ht="12" customHeight="1">
      <c r="B86" s="59"/>
      <c r="C86" s="59"/>
      <c r="D86" s="72"/>
      <c r="E86" s="61"/>
      <c r="F86" s="59"/>
      <c r="G86" s="59"/>
      <c r="H86" s="62"/>
      <c r="I86" s="61"/>
      <c r="J86" s="61"/>
      <c r="K86" s="84"/>
      <c r="L86" s="63"/>
    </row>
    <row r="87" spans="2:12" ht="12" customHeight="1">
      <c r="B87" s="59"/>
      <c r="C87" s="59"/>
      <c r="D87" s="72"/>
      <c r="E87" s="61"/>
      <c r="F87" s="59"/>
      <c r="G87" s="59"/>
      <c r="H87" s="62"/>
      <c r="I87" s="61"/>
      <c r="J87" s="61"/>
      <c r="K87" s="84"/>
      <c r="L87" s="63"/>
    </row>
    <row r="88" spans="2:12" ht="12" customHeight="1">
      <c r="B88" s="59"/>
      <c r="C88" s="59"/>
      <c r="D88" s="72"/>
      <c r="E88" s="61"/>
      <c r="F88" s="59"/>
      <c r="G88" s="59"/>
      <c r="H88" s="62"/>
      <c r="I88" s="61"/>
      <c r="J88" s="61"/>
      <c r="K88" s="84"/>
      <c r="L88" s="63"/>
    </row>
    <row r="89" spans="2:12" ht="12" customHeight="1">
      <c r="B89" s="59"/>
      <c r="C89" s="59"/>
      <c r="D89" s="72"/>
      <c r="E89" s="61"/>
      <c r="F89" s="59"/>
      <c r="G89" s="59"/>
      <c r="H89" s="62"/>
      <c r="I89" s="61"/>
      <c r="J89" s="61"/>
      <c r="K89" s="84"/>
      <c r="L89" s="63"/>
    </row>
    <row r="90" spans="2:12" ht="12" customHeight="1">
      <c r="B90" s="59"/>
      <c r="C90" s="59"/>
      <c r="D90" s="72"/>
      <c r="E90" s="61"/>
      <c r="F90" s="59"/>
      <c r="G90" s="59"/>
      <c r="H90" s="62"/>
      <c r="I90" s="61"/>
      <c r="J90" s="61"/>
      <c r="K90" s="84"/>
      <c r="L90" s="63"/>
    </row>
    <row r="91" spans="2:12" ht="12" customHeight="1">
      <c r="B91" s="59"/>
      <c r="C91" s="59"/>
      <c r="D91" s="72"/>
      <c r="E91" s="61"/>
      <c r="F91" s="59"/>
      <c r="G91" s="59"/>
      <c r="H91" s="62"/>
      <c r="I91" s="61"/>
      <c r="J91" s="61"/>
      <c r="K91" s="84"/>
      <c r="L91" s="63"/>
    </row>
    <row r="92" spans="2:12" ht="12" customHeight="1">
      <c r="B92" s="59"/>
      <c r="C92" s="59"/>
      <c r="D92" s="72"/>
      <c r="E92" s="61"/>
      <c r="F92" s="59"/>
      <c r="G92" s="59"/>
      <c r="H92" s="62"/>
      <c r="I92" s="61"/>
      <c r="J92" s="61"/>
      <c r="K92" s="84"/>
      <c r="L92" s="63"/>
    </row>
    <row r="93" spans="2:12" ht="12" customHeight="1">
      <c r="B93" s="59"/>
      <c r="C93" s="59"/>
      <c r="D93" s="72"/>
      <c r="E93" s="61"/>
      <c r="F93" s="59"/>
      <c r="G93" s="59"/>
      <c r="H93" s="62"/>
      <c r="I93" s="61"/>
      <c r="J93" s="61"/>
      <c r="K93" s="84"/>
      <c r="L93" s="63"/>
    </row>
    <row r="94" spans="2:12" ht="12" customHeight="1">
      <c r="B94" s="59"/>
      <c r="C94" s="59"/>
      <c r="D94" s="72"/>
      <c r="E94" s="61"/>
      <c r="F94" s="59"/>
      <c r="G94" s="59"/>
      <c r="H94" s="62"/>
      <c r="I94" s="61"/>
      <c r="J94" s="61"/>
      <c r="K94" s="84"/>
      <c r="L94" s="63"/>
    </row>
    <row r="95" spans="2:12" ht="12" customHeight="1">
      <c r="B95" s="59"/>
      <c r="C95" s="59"/>
      <c r="D95" s="72"/>
      <c r="E95" s="61"/>
      <c r="F95" s="59"/>
      <c r="G95" s="59"/>
      <c r="H95" s="62"/>
      <c r="I95" s="61"/>
      <c r="J95" s="61"/>
      <c r="K95" s="84"/>
      <c r="L95" s="63"/>
    </row>
    <row r="96" spans="2:12" ht="12" customHeight="1">
      <c r="B96" s="59"/>
      <c r="C96" s="59"/>
      <c r="D96" s="72"/>
      <c r="E96" s="61"/>
      <c r="F96" s="59"/>
      <c r="G96" s="59"/>
      <c r="H96" s="62"/>
      <c r="I96" s="61"/>
      <c r="J96" s="61"/>
      <c r="K96" s="84"/>
      <c r="L96" s="63"/>
    </row>
    <row r="97" spans="2:12" ht="12" customHeight="1">
      <c r="B97" s="59"/>
      <c r="C97" s="59"/>
      <c r="D97" s="72"/>
      <c r="E97" s="61"/>
      <c r="F97" s="59"/>
      <c r="G97" s="59"/>
      <c r="H97" s="62"/>
      <c r="I97" s="61"/>
      <c r="J97" s="61"/>
      <c r="K97" s="84"/>
      <c r="L97" s="63"/>
    </row>
    <row r="98" spans="2:12" ht="12" customHeight="1">
      <c r="B98" s="59"/>
      <c r="C98" s="59"/>
      <c r="D98" s="72"/>
      <c r="E98" s="61"/>
      <c r="F98" s="59"/>
      <c r="G98" s="59"/>
      <c r="H98" s="62"/>
      <c r="I98" s="61"/>
      <c r="J98" s="61"/>
      <c r="K98" s="84"/>
      <c r="L98" s="63"/>
    </row>
    <row r="99" spans="2:12" ht="12" customHeight="1">
      <c r="B99" s="59"/>
      <c r="C99" s="59"/>
      <c r="D99" s="72"/>
      <c r="E99" s="61"/>
      <c r="F99" s="59"/>
      <c r="G99" s="59"/>
      <c r="H99" s="62"/>
      <c r="I99" s="61"/>
      <c r="J99" s="61"/>
      <c r="K99" s="84"/>
      <c r="L99" s="63"/>
    </row>
    <row r="100" spans="2:12" ht="12" customHeight="1">
      <c r="B100" s="59"/>
      <c r="C100" s="59"/>
      <c r="D100" s="72"/>
      <c r="E100" s="61"/>
      <c r="F100" s="59"/>
      <c r="G100" s="59"/>
      <c r="H100" s="62"/>
      <c r="I100" s="61"/>
      <c r="J100" s="61"/>
      <c r="K100" s="84"/>
      <c r="L100" s="63"/>
    </row>
    <row r="101" spans="2:12" ht="12" customHeight="1">
      <c r="B101" s="59"/>
      <c r="C101" s="59"/>
      <c r="D101" s="72"/>
      <c r="E101" s="61"/>
      <c r="F101" s="59"/>
      <c r="G101" s="59"/>
      <c r="H101" s="62"/>
      <c r="I101" s="61"/>
      <c r="J101" s="61"/>
      <c r="K101" s="84"/>
      <c r="L101" s="63"/>
    </row>
    <row r="102" spans="2:12" ht="12" customHeight="1">
      <c r="B102" s="59"/>
      <c r="C102" s="59"/>
      <c r="D102" s="72"/>
      <c r="E102" s="61"/>
      <c r="F102" s="59"/>
      <c r="G102" s="59"/>
      <c r="H102" s="62"/>
      <c r="I102" s="61"/>
      <c r="J102" s="61"/>
      <c r="K102" s="84"/>
      <c r="L102" s="63"/>
    </row>
    <row r="103" spans="2:12" ht="12" customHeight="1">
      <c r="B103" s="59"/>
      <c r="C103" s="59"/>
      <c r="D103" s="72"/>
      <c r="E103" s="61"/>
      <c r="F103" s="59"/>
      <c r="G103" s="59"/>
      <c r="H103" s="62"/>
      <c r="I103" s="61"/>
      <c r="J103" s="61"/>
      <c r="K103" s="84"/>
      <c r="L103" s="63"/>
    </row>
    <row r="104" spans="2:12" ht="12" customHeight="1">
      <c r="B104" s="59"/>
      <c r="C104" s="59"/>
      <c r="D104" s="72"/>
      <c r="E104" s="61"/>
      <c r="F104" s="59"/>
      <c r="G104" s="59"/>
      <c r="H104" s="62"/>
      <c r="I104" s="61"/>
      <c r="J104" s="61"/>
      <c r="K104" s="84"/>
      <c r="L104" s="63"/>
    </row>
    <row r="105" spans="2:12" ht="12" customHeight="1">
      <c r="B105" s="59"/>
      <c r="C105" s="59"/>
      <c r="D105" s="72"/>
      <c r="E105" s="61"/>
      <c r="F105" s="59"/>
      <c r="G105" s="59"/>
      <c r="H105" s="62"/>
      <c r="I105" s="61"/>
      <c r="J105" s="61"/>
      <c r="K105" s="84"/>
      <c r="L105" s="63"/>
    </row>
    <row r="106" spans="2:12" ht="12" customHeight="1">
      <c r="B106" s="59"/>
      <c r="C106" s="59"/>
      <c r="D106" s="72"/>
      <c r="E106" s="61"/>
      <c r="F106" s="59"/>
      <c r="G106" s="59"/>
      <c r="H106" s="62"/>
      <c r="I106" s="61"/>
      <c r="J106" s="61"/>
      <c r="K106" s="84"/>
      <c r="L106" s="63"/>
    </row>
    <row r="107" spans="2:12" ht="12" customHeight="1">
      <c r="B107" s="59"/>
      <c r="C107" s="59"/>
      <c r="D107" s="72"/>
      <c r="E107" s="61"/>
      <c r="F107" s="59"/>
      <c r="G107" s="59"/>
      <c r="H107" s="62"/>
      <c r="I107" s="61"/>
      <c r="J107" s="61"/>
      <c r="K107" s="84"/>
      <c r="L107" s="63"/>
    </row>
    <row r="108" spans="2:12" ht="12" customHeight="1">
      <c r="B108" s="59"/>
      <c r="C108" s="59"/>
      <c r="D108" s="72"/>
      <c r="E108" s="61"/>
      <c r="F108" s="59"/>
      <c r="G108" s="59"/>
      <c r="H108" s="62"/>
      <c r="I108" s="61"/>
      <c r="J108" s="61"/>
      <c r="K108" s="84"/>
      <c r="L108" s="63"/>
    </row>
    <row r="109" spans="2:12" ht="12" customHeight="1">
      <c r="B109" s="59"/>
      <c r="C109" s="59"/>
      <c r="D109" s="72"/>
      <c r="E109" s="61"/>
      <c r="F109" s="59"/>
      <c r="G109" s="59"/>
      <c r="H109" s="62"/>
      <c r="I109" s="61"/>
      <c r="J109" s="61"/>
      <c r="K109" s="84"/>
      <c r="L109" s="63"/>
    </row>
    <row r="110" spans="2:12" ht="12" customHeight="1">
      <c r="B110" s="59"/>
      <c r="C110" s="59"/>
      <c r="D110" s="72"/>
      <c r="E110" s="61"/>
      <c r="F110" s="59"/>
      <c r="G110" s="59"/>
      <c r="H110" s="62"/>
      <c r="I110" s="61"/>
      <c r="J110" s="61"/>
      <c r="K110" s="84"/>
      <c r="L110" s="63"/>
    </row>
    <row r="111" spans="2:12" ht="12" customHeight="1">
      <c r="B111" s="59"/>
      <c r="C111" s="59"/>
      <c r="D111" s="72"/>
      <c r="E111" s="61"/>
      <c r="F111" s="59"/>
      <c r="G111" s="59"/>
      <c r="H111" s="62"/>
      <c r="I111" s="61"/>
      <c r="J111" s="61"/>
      <c r="K111" s="84"/>
      <c r="L111" s="63"/>
    </row>
    <row r="112" spans="2:12" ht="12" customHeight="1">
      <c r="B112" s="59"/>
      <c r="C112" s="59"/>
      <c r="D112" s="72"/>
      <c r="E112" s="61"/>
      <c r="F112" s="59"/>
      <c r="G112" s="59"/>
      <c r="H112" s="62"/>
      <c r="I112" s="61"/>
      <c r="J112" s="61"/>
      <c r="K112" s="84"/>
      <c r="L112" s="63"/>
    </row>
    <row r="113" spans="2:12" ht="12" customHeight="1">
      <c r="B113" s="59"/>
      <c r="C113" s="59"/>
      <c r="D113" s="72"/>
      <c r="E113" s="61"/>
      <c r="F113" s="59"/>
      <c r="G113" s="59"/>
      <c r="H113" s="62"/>
      <c r="I113" s="61"/>
      <c r="J113" s="61"/>
      <c r="K113" s="84"/>
      <c r="L113" s="63"/>
    </row>
    <row r="114" spans="2:12" ht="12" customHeight="1">
      <c r="B114" s="59"/>
      <c r="C114" s="59"/>
      <c r="D114" s="72"/>
      <c r="E114" s="61"/>
      <c r="F114" s="59"/>
      <c r="G114" s="59"/>
      <c r="H114" s="62"/>
      <c r="I114" s="61"/>
      <c r="J114" s="61"/>
      <c r="K114" s="84"/>
      <c r="L114" s="63"/>
    </row>
    <row r="115" spans="2:12" ht="12" customHeight="1">
      <c r="B115" s="59"/>
      <c r="C115" s="59"/>
      <c r="D115" s="72"/>
      <c r="E115" s="61"/>
      <c r="F115" s="59"/>
      <c r="G115" s="59"/>
      <c r="H115" s="62"/>
      <c r="I115" s="61"/>
      <c r="J115" s="61"/>
      <c r="K115" s="84"/>
      <c r="L115" s="63"/>
    </row>
    <row r="116" spans="2:12" ht="12" customHeight="1">
      <c r="B116" s="59"/>
      <c r="C116" s="59"/>
      <c r="D116" s="72"/>
      <c r="E116" s="61"/>
      <c r="F116" s="59"/>
      <c r="G116" s="59"/>
      <c r="H116" s="62"/>
      <c r="I116" s="61"/>
      <c r="J116" s="61"/>
      <c r="K116" s="84"/>
      <c r="L116" s="63"/>
    </row>
    <row r="117" spans="2:12" ht="12" customHeight="1">
      <c r="B117" s="59"/>
      <c r="C117" s="59"/>
      <c r="D117" s="72"/>
      <c r="E117" s="61"/>
      <c r="F117" s="59"/>
      <c r="G117" s="59"/>
      <c r="H117" s="62"/>
      <c r="I117" s="61"/>
      <c r="J117" s="61"/>
      <c r="K117" s="84"/>
      <c r="L117" s="63"/>
    </row>
    <row r="118" spans="2:12" ht="12" customHeight="1">
      <c r="B118" s="59"/>
      <c r="C118" s="59"/>
      <c r="D118" s="72"/>
      <c r="E118" s="61"/>
      <c r="F118" s="59"/>
      <c r="G118" s="59"/>
      <c r="H118" s="62"/>
      <c r="I118" s="61"/>
      <c r="J118" s="61"/>
      <c r="K118" s="84"/>
      <c r="L118" s="63"/>
    </row>
    <row r="119" spans="2:12" ht="12" customHeight="1">
      <c r="B119" s="59"/>
      <c r="C119" s="59"/>
      <c r="D119" s="72"/>
      <c r="E119" s="61"/>
      <c r="F119" s="59"/>
      <c r="G119" s="59"/>
      <c r="H119" s="62"/>
      <c r="I119" s="61"/>
      <c r="J119" s="61"/>
      <c r="K119" s="84"/>
      <c r="L119" s="63"/>
    </row>
    <row r="120" spans="2:12" ht="12" customHeight="1">
      <c r="B120" s="59"/>
      <c r="C120" s="59"/>
      <c r="D120" s="72"/>
      <c r="E120" s="61"/>
      <c r="F120" s="59"/>
      <c r="G120" s="59"/>
      <c r="H120" s="62"/>
      <c r="I120" s="61"/>
      <c r="J120" s="61"/>
      <c r="K120" s="84"/>
      <c r="L120" s="63"/>
    </row>
    <row r="121" spans="2:12" ht="12" customHeight="1">
      <c r="B121" s="59"/>
      <c r="C121" s="59"/>
      <c r="D121" s="72"/>
      <c r="E121" s="61"/>
      <c r="F121" s="59"/>
      <c r="G121" s="59"/>
      <c r="H121" s="62"/>
      <c r="I121" s="61"/>
      <c r="J121" s="61"/>
      <c r="K121" s="84"/>
      <c r="L121" s="63"/>
    </row>
    <row r="122" spans="2:12" ht="12" customHeight="1">
      <c r="B122" s="59"/>
      <c r="C122" s="59"/>
      <c r="D122" s="72"/>
      <c r="E122" s="61"/>
      <c r="F122" s="59"/>
      <c r="G122" s="59"/>
      <c r="H122" s="62"/>
      <c r="I122" s="61"/>
      <c r="J122" s="61"/>
      <c r="K122" s="84"/>
      <c r="L122" s="63"/>
    </row>
    <row r="123" spans="2:12" ht="12" customHeight="1">
      <c r="B123" s="59"/>
      <c r="C123" s="59"/>
      <c r="D123" s="72"/>
      <c r="E123" s="61"/>
      <c r="F123" s="59"/>
      <c r="G123" s="59"/>
      <c r="H123" s="62"/>
      <c r="I123" s="61"/>
      <c r="J123" s="61"/>
      <c r="K123" s="84"/>
      <c r="L123" s="63"/>
    </row>
    <row r="124" spans="2:12" ht="12" customHeight="1">
      <c r="B124" s="59"/>
      <c r="C124" s="59"/>
      <c r="D124" s="72"/>
      <c r="E124" s="61"/>
      <c r="F124" s="59"/>
      <c r="G124" s="59"/>
      <c r="H124" s="62"/>
      <c r="I124" s="61"/>
      <c r="J124" s="61"/>
      <c r="K124" s="84"/>
      <c r="L124" s="63"/>
    </row>
    <row r="125" spans="2:12" ht="12" customHeight="1">
      <c r="B125" s="59"/>
      <c r="C125" s="59"/>
      <c r="D125" s="72"/>
      <c r="E125" s="61"/>
      <c r="F125" s="59"/>
      <c r="G125" s="59"/>
      <c r="H125" s="62"/>
      <c r="I125" s="61"/>
      <c r="J125" s="61"/>
      <c r="K125" s="84"/>
      <c r="L125" s="63"/>
    </row>
    <row r="126" spans="2:12" ht="12" customHeight="1">
      <c r="B126" s="59"/>
      <c r="C126" s="59"/>
      <c r="D126" s="72"/>
      <c r="E126" s="61"/>
      <c r="F126" s="59"/>
      <c r="G126" s="59"/>
      <c r="H126" s="62"/>
      <c r="I126" s="61"/>
      <c r="J126" s="61"/>
      <c r="K126" s="84"/>
      <c r="L126" s="63"/>
    </row>
    <row r="127" spans="2:12" ht="12" customHeight="1">
      <c r="B127" s="59"/>
      <c r="C127" s="59"/>
      <c r="D127" s="72"/>
      <c r="E127" s="61"/>
      <c r="F127" s="59"/>
      <c r="G127" s="59"/>
      <c r="H127" s="62"/>
      <c r="I127" s="61"/>
      <c r="J127" s="61"/>
      <c r="K127" s="84"/>
      <c r="L127" s="63"/>
    </row>
    <row r="128" spans="2:12" ht="12" customHeight="1">
      <c r="B128" s="59"/>
      <c r="C128" s="59"/>
      <c r="D128" s="72"/>
      <c r="E128" s="61"/>
      <c r="F128" s="59"/>
      <c r="G128" s="59"/>
      <c r="H128" s="62"/>
      <c r="I128" s="61"/>
      <c r="J128" s="61"/>
      <c r="K128" s="84"/>
      <c r="L128" s="63"/>
    </row>
    <row r="129" spans="2:12" ht="12" customHeight="1">
      <c r="B129" s="59"/>
      <c r="C129" s="59"/>
      <c r="D129" s="72"/>
      <c r="E129" s="61"/>
      <c r="F129" s="59"/>
      <c r="G129" s="59"/>
      <c r="H129" s="62"/>
      <c r="I129" s="61"/>
      <c r="J129" s="61"/>
      <c r="K129" s="84"/>
      <c r="L129" s="63"/>
    </row>
    <row r="130" spans="2:12" ht="12" customHeight="1">
      <c r="B130" s="59"/>
      <c r="C130" s="59"/>
      <c r="D130" s="72"/>
      <c r="E130" s="61"/>
      <c r="F130" s="59"/>
      <c r="G130" s="59"/>
      <c r="H130" s="62"/>
      <c r="I130" s="61"/>
      <c r="J130" s="61"/>
      <c r="K130" s="84"/>
      <c r="L130" s="63"/>
    </row>
    <row r="131" spans="2:12" ht="12" customHeight="1">
      <c r="B131" s="59"/>
      <c r="C131" s="59"/>
      <c r="D131" s="72"/>
      <c r="E131" s="61"/>
      <c r="F131" s="59"/>
      <c r="G131" s="59"/>
      <c r="H131" s="62"/>
      <c r="I131" s="61"/>
      <c r="J131" s="61"/>
      <c r="K131" s="84"/>
      <c r="L131" s="63"/>
    </row>
    <row r="132" spans="2:12" ht="12" customHeight="1">
      <c r="B132" s="59"/>
      <c r="C132" s="59"/>
      <c r="D132" s="72"/>
      <c r="E132" s="61"/>
      <c r="F132" s="59"/>
      <c r="G132" s="59"/>
      <c r="H132" s="62"/>
      <c r="I132" s="61"/>
      <c r="J132" s="61"/>
      <c r="K132" s="84"/>
      <c r="L132" s="63"/>
    </row>
    <row r="133" spans="2:12" ht="12" customHeight="1">
      <c r="B133" s="59"/>
      <c r="C133" s="59"/>
      <c r="D133" s="72"/>
      <c r="E133" s="61"/>
      <c r="F133" s="59"/>
      <c r="G133" s="59"/>
      <c r="H133" s="62"/>
      <c r="I133" s="61"/>
      <c r="J133" s="61"/>
      <c r="K133" s="84"/>
      <c r="L133" s="63"/>
    </row>
    <row r="134" spans="2:12" ht="12" customHeight="1">
      <c r="B134" s="59"/>
      <c r="C134" s="59"/>
      <c r="D134" s="72"/>
      <c r="E134" s="61"/>
      <c r="F134" s="59"/>
      <c r="G134" s="59"/>
      <c r="H134" s="62"/>
      <c r="I134" s="61"/>
      <c r="J134" s="61"/>
      <c r="K134" s="84"/>
      <c r="L134" s="63"/>
    </row>
    <row r="135" spans="2:12" ht="12" customHeight="1">
      <c r="B135" s="59"/>
      <c r="C135" s="59"/>
      <c r="D135" s="72"/>
      <c r="E135" s="61"/>
      <c r="F135" s="59"/>
      <c r="G135" s="59"/>
      <c r="H135" s="62"/>
      <c r="I135" s="61"/>
      <c r="J135" s="61"/>
      <c r="K135" s="84"/>
      <c r="L135" s="63"/>
    </row>
    <row r="136" spans="2:12" ht="12" customHeight="1">
      <c r="B136" s="59"/>
      <c r="C136" s="59"/>
      <c r="D136" s="72"/>
      <c r="E136" s="61"/>
      <c r="F136" s="59"/>
      <c r="G136" s="59"/>
      <c r="H136" s="62"/>
      <c r="I136" s="61"/>
      <c r="J136" s="61"/>
      <c r="K136" s="84"/>
      <c r="L136" s="63"/>
    </row>
    <row r="137" spans="2:12" ht="12" customHeight="1">
      <c r="B137" s="59"/>
      <c r="C137" s="59"/>
      <c r="D137" s="72"/>
      <c r="E137" s="61"/>
      <c r="F137" s="59"/>
      <c r="G137" s="59"/>
      <c r="H137" s="62"/>
      <c r="I137" s="61"/>
      <c r="J137" s="61"/>
      <c r="K137" s="84"/>
      <c r="L137" s="63"/>
    </row>
    <row r="138" spans="2:12" ht="12" customHeight="1">
      <c r="B138" s="59"/>
      <c r="C138" s="59"/>
      <c r="D138" s="72"/>
      <c r="E138" s="61"/>
      <c r="F138" s="59"/>
      <c r="G138" s="59"/>
      <c r="H138" s="62"/>
      <c r="I138" s="61"/>
      <c r="J138" s="61"/>
      <c r="K138" s="84"/>
      <c r="L138" s="63"/>
    </row>
    <row r="139" spans="2:12" ht="12" customHeight="1">
      <c r="B139" s="59"/>
      <c r="C139" s="59"/>
      <c r="D139" s="72"/>
      <c r="E139" s="61"/>
      <c r="F139" s="59"/>
      <c r="G139" s="59"/>
      <c r="H139" s="62"/>
      <c r="I139" s="61"/>
      <c r="J139" s="61"/>
      <c r="K139" s="84"/>
      <c r="L139" s="63"/>
    </row>
    <row r="140" spans="2:12" ht="12" customHeight="1">
      <c r="B140" s="59"/>
      <c r="C140" s="59"/>
      <c r="D140" s="72"/>
      <c r="E140" s="61"/>
      <c r="F140" s="59"/>
      <c r="G140" s="59"/>
      <c r="H140" s="62"/>
      <c r="I140" s="61"/>
      <c r="J140" s="61"/>
      <c r="K140" s="84"/>
      <c r="L140" s="63"/>
    </row>
    <row r="141" spans="2:12" ht="12" customHeight="1">
      <c r="B141" s="59"/>
      <c r="C141" s="59"/>
      <c r="D141" s="72"/>
      <c r="E141" s="61"/>
      <c r="F141" s="59"/>
      <c r="G141" s="59"/>
      <c r="H141" s="62"/>
      <c r="I141" s="61"/>
      <c r="J141" s="61"/>
      <c r="K141" s="84"/>
      <c r="L141" s="63"/>
    </row>
    <row r="142" spans="2:12" ht="12" customHeight="1">
      <c r="B142" s="59"/>
      <c r="C142" s="59"/>
      <c r="D142" s="72"/>
      <c r="E142" s="61"/>
      <c r="F142" s="59"/>
      <c r="G142" s="59"/>
      <c r="H142" s="62"/>
      <c r="I142" s="61"/>
      <c r="J142" s="61"/>
      <c r="K142" s="84"/>
      <c r="L142" s="63"/>
    </row>
    <row r="143" spans="2:12" ht="12" customHeight="1">
      <c r="B143" s="59"/>
      <c r="C143" s="59"/>
      <c r="D143" s="72"/>
      <c r="E143" s="61"/>
      <c r="F143" s="59"/>
      <c r="G143" s="59"/>
      <c r="H143" s="62"/>
      <c r="I143" s="61"/>
      <c r="J143" s="61"/>
      <c r="K143" s="84"/>
      <c r="L143" s="63"/>
    </row>
    <row r="144" spans="2:12" ht="12" customHeight="1">
      <c r="B144" s="59"/>
      <c r="C144" s="59"/>
      <c r="D144" s="72"/>
      <c r="E144" s="61"/>
      <c r="F144" s="59"/>
      <c r="G144" s="59"/>
      <c r="H144" s="62"/>
      <c r="I144" s="61"/>
      <c r="J144" s="61"/>
      <c r="K144" s="84"/>
      <c r="L144" s="63"/>
    </row>
    <row r="145" spans="2:12" ht="12" customHeight="1">
      <c r="B145" s="59"/>
      <c r="C145" s="59"/>
      <c r="D145" s="72"/>
      <c r="E145" s="61"/>
      <c r="F145" s="59"/>
      <c r="G145" s="59"/>
      <c r="H145" s="62"/>
      <c r="I145" s="61"/>
      <c r="J145" s="61"/>
      <c r="K145" s="84"/>
      <c r="L145" s="63"/>
    </row>
    <row r="146" spans="2:12" ht="12" customHeight="1">
      <c r="B146" s="59"/>
      <c r="C146" s="59"/>
      <c r="D146" s="72"/>
      <c r="E146" s="61"/>
      <c r="F146" s="59"/>
      <c r="G146" s="59"/>
      <c r="H146" s="62"/>
      <c r="I146" s="61"/>
      <c r="J146" s="61"/>
      <c r="K146" s="84"/>
      <c r="L146" s="63"/>
    </row>
    <row r="147" spans="2:12" ht="12" customHeight="1">
      <c r="B147" s="59"/>
      <c r="C147" s="59"/>
      <c r="D147" s="72"/>
      <c r="E147" s="61"/>
      <c r="F147" s="59"/>
      <c r="G147" s="59"/>
      <c r="H147" s="62"/>
      <c r="I147" s="61"/>
      <c r="J147" s="61"/>
      <c r="K147" s="84"/>
      <c r="L147" s="63"/>
    </row>
    <row r="148" spans="2:12" ht="12" customHeight="1">
      <c r="B148" s="59"/>
      <c r="C148" s="59"/>
      <c r="D148" s="72"/>
      <c r="E148" s="61"/>
      <c r="F148" s="59"/>
      <c r="G148" s="59"/>
      <c r="H148" s="62"/>
      <c r="I148" s="61"/>
      <c r="J148" s="61"/>
      <c r="K148" s="84"/>
      <c r="L148" s="63"/>
    </row>
    <row r="149" spans="2:12" ht="12" customHeight="1">
      <c r="B149" s="59"/>
      <c r="C149" s="59"/>
      <c r="D149" s="72"/>
      <c r="E149" s="61"/>
      <c r="F149" s="59"/>
      <c r="G149" s="59"/>
      <c r="H149" s="62"/>
      <c r="I149" s="61"/>
      <c r="J149" s="61"/>
      <c r="K149" s="84"/>
      <c r="L149" s="63"/>
    </row>
    <row r="150" spans="2:12" ht="12" customHeight="1">
      <c r="B150" s="59"/>
      <c r="C150" s="59"/>
      <c r="D150" s="72"/>
      <c r="E150" s="61"/>
      <c r="F150" s="59"/>
      <c r="G150" s="59"/>
      <c r="H150" s="62"/>
      <c r="I150" s="61"/>
      <c r="J150" s="61"/>
      <c r="K150" s="84"/>
      <c r="L150" s="63"/>
    </row>
    <row r="151" spans="2:12" ht="12" customHeight="1">
      <c r="B151" s="59"/>
      <c r="C151" s="59"/>
      <c r="D151" s="72"/>
      <c r="E151" s="61"/>
      <c r="F151" s="59"/>
      <c r="G151" s="59"/>
      <c r="H151" s="62"/>
      <c r="I151" s="61"/>
      <c r="J151" s="61"/>
      <c r="K151" s="84"/>
      <c r="L151" s="63"/>
    </row>
    <row r="152" spans="2:12" ht="12" customHeight="1">
      <c r="B152" s="59"/>
      <c r="C152" s="59"/>
      <c r="D152" s="72"/>
      <c r="E152" s="61"/>
      <c r="F152" s="59"/>
      <c r="G152" s="59"/>
      <c r="H152" s="62"/>
      <c r="I152" s="61"/>
      <c r="J152" s="61"/>
      <c r="K152" s="84"/>
      <c r="L152" s="63"/>
    </row>
    <row r="153" spans="2:12" ht="12" customHeight="1">
      <c r="B153" s="59"/>
      <c r="C153" s="59"/>
      <c r="D153" s="72"/>
      <c r="E153" s="61"/>
      <c r="F153" s="59"/>
      <c r="G153" s="59"/>
      <c r="H153" s="62"/>
      <c r="I153" s="61"/>
      <c r="J153" s="61"/>
      <c r="K153" s="84"/>
      <c r="L153" s="63"/>
    </row>
    <row r="154" spans="2:12" ht="12" customHeight="1">
      <c r="B154" s="59"/>
      <c r="C154" s="59"/>
      <c r="D154" s="72"/>
      <c r="E154" s="61"/>
      <c r="F154" s="59"/>
      <c r="G154" s="59"/>
      <c r="H154" s="62"/>
      <c r="I154" s="61"/>
      <c r="J154" s="61"/>
      <c r="K154" s="84"/>
      <c r="L154" s="63"/>
    </row>
    <row r="155" spans="2:12" ht="12" customHeight="1">
      <c r="B155" s="59"/>
      <c r="C155" s="59"/>
      <c r="D155" s="72"/>
      <c r="E155" s="61"/>
      <c r="F155" s="59"/>
      <c r="G155" s="59"/>
      <c r="H155" s="62"/>
      <c r="I155" s="61"/>
      <c r="J155" s="61"/>
      <c r="K155" s="84"/>
      <c r="L155" s="63"/>
    </row>
    <row r="156" spans="2:12" ht="12" customHeight="1">
      <c r="B156" s="59"/>
      <c r="C156" s="59"/>
      <c r="D156" s="72"/>
      <c r="E156" s="61"/>
      <c r="F156" s="59"/>
      <c r="G156" s="59"/>
      <c r="H156" s="62"/>
      <c r="I156" s="61"/>
      <c r="J156" s="61"/>
      <c r="K156" s="84"/>
      <c r="L156" s="63"/>
    </row>
    <row r="157" spans="2:12" ht="12" customHeight="1">
      <c r="B157" s="59"/>
      <c r="C157" s="59"/>
      <c r="D157" s="72"/>
      <c r="E157" s="61"/>
      <c r="F157" s="59"/>
      <c r="G157" s="59"/>
      <c r="H157" s="62"/>
      <c r="I157" s="61"/>
      <c r="J157" s="61"/>
      <c r="K157" s="84"/>
      <c r="L157" s="63"/>
    </row>
    <row r="158" spans="2:12" ht="12" customHeight="1">
      <c r="B158" s="59"/>
      <c r="C158" s="59"/>
      <c r="D158" s="72"/>
      <c r="E158" s="61"/>
      <c r="F158" s="59"/>
      <c r="G158" s="59"/>
      <c r="H158" s="62"/>
      <c r="I158" s="61"/>
      <c r="J158" s="61"/>
      <c r="K158" s="84"/>
      <c r="L158" s="63"/>
    </row>
    <row r="159" spans="2:12" ht="12" customHeight="1">
      <c r="B159" s="59"/>
      <c r="C159" s="59"/>
      <c r="D159" s="72"/>
      <c r="E159" s="61"/>
      <c r="F159" s="59"/>
      <c r="G159" s="59"/>
      <c r="H159" s="62"/>
      <c r="I159" s="61"/>
      <c r="J159" s="61"/>
      <c r="K159" s="84"/>
      <c r="L159" s="63"/>
    </row>
    <row r="160" spans="2:12" ht="12" customHeight="1">
      <c r="B160" s="59"/>
      <c r="C160" s="59"/>
      <c r="D160" s="72"/>
      <c r="E160" s="61"/>
      <c r="F160" s="59"/>
      <c r="G160" s="59"/>
      <c r="H160" s="62"/>
      <c r="I160" s="61"/>
      <c r="J160" s="61"/>
      <c r="K160" s="84"/>
      <c r="L160" s="63"/>
    </row>
    <row r="161" spans="2:12" ht="12" customHeight="1">
      <c r="B161" s="59"/>
      <c r="C161" s="59"/>
      <c r="D161" s="72"/>
      <c r="E161" s="61"/>
      <c r="F161" s="59"/>
      <c r="G161" s="59"/>
      <c r="H161" s="62"/>
      <c r="I161" s="61"/>
      <c r="J161" s="61"/>
      <c r="K161" s="84"/>
      <c r="L161" s="63"/>
    </row>
    <row r="162" spans="2:12" ht="12" customHeight="1">
      <c r="B162" s="59"/>
      <c r="C162" s="59"/>
      <c r="D162" s="72"/>
      <c r="E162" s="61"/>
      <c r="F162" s="59"/>
      <c r="G162" s="59"/>
      <c r="H162" s="62"/>
      <c r="I162" s="61"/>
      <c r="J162" s="61"/>
      <c r="K162" s="84"/>
      <c r="L162" s="63"/>
    </row>
    <row r="163" spans="2:12" ht="12" customHeight="1">
      <c r="B163" s="59"/>
      <c r="C163" s="59"/>
      <c r="D163" s="72"/>
      <c r="E163" s="61"/>
      <c r="F163" s="59"/>
      <c r="G163" s="59"/>
      <c r="H163" s="62"/>
      <c r="I163" s="61"/>
      <c r="J163" s="61"/>
      <c r="K163" s="84"/>
      <c r="L163" s="63"/>
    </row>
    <row r="164" spans="2:12" ht="12" customHeight="1">
      <c r="B164" s="59"/>
      <c r="C164" s="59"/>
      <c r="D164" s="72"/>
      <c r="E164" s="61"/>
      <c r="F164" s="59"/>
      <c r="G164" s="59"/>
      <c r="H164" s="62"/>
      <c r="I164" s="61"/>
      <c r="J164" s="61"/>
      <c r="K164" s="84"/>
      <c r="L164" s="63"/>
    </row>
    <row r="165" spans="2:12" ht="12" customHeight="1">
      <c r="B165" s="59"/>
      <c r="C165" s="59"/>
      <c r="D165" s="72"/>
      <c r="E165" s="61"/>
      <c r="F165" s="59"/>
      <c r="G165" s="59"/>
      <c r="H165" s="62"/>
      <c r="I165" s="61"/>
      <c r="J165" s="61"/>
      <c r="K165" s="84"/>
      <c r="L165" s="63"/>
    </row>
    <row r="166" spans="2:12" ht="12" customHeight="1">
      <c r="B166" s="59"/>
      <c r="C166" s="59"/>
      <c r="D166" s="72"/>
      <c r="E166" s="61"/>
      <c r="F166" s="59"/>
      <c r="G166" s="59"/>
      <c r="H166" s="62"/>
      <c r="I166" s="61"/>
      <c r="J166" s="61"/>
      <c r="K166" s="84"/>
      <c r="L166" s="63"/>
    </row>
    <row r="167" spans="2:12" ht="12" customHeight="1">
      <c r="B167" s="59"/>
      <c r="C167" s="59"/>
      <c r="D167" s="72"/>
      <c r="E167" s="61"/>
      <c r="F167" s="59"/>
      <c r="G167" s="59"/>
      <c r="H167" s="62"/>
      <c r="I167" s="61"/>
      <c r="J167" s="61"/>
      <c r="K167" s="84"/>
      <c r="L167" s="63"/>
    </row>
    <row r="168" spans="2:12" ht="12" customHeight="1">
      <c r="B168" s="59"/>
      <c r="C168" s="59"/>
      <c r="D168" s="72"/>
      <c r="E168" s="61"/>
      <c r="F168" s="59"/>
      <c r="G168" s="59"/>
      <c r="H168" s="62"/>
      <c r="I168" s="61"/>
      <c r="J168" s="61"/>
      <c r="K168" s="84"/>
      <c r="L168" s="63"/>
    </row>
    <row r="169" spans="2:12" ht="12" customHeight="1">
      <c r="B169" s="59"/>
      <c r="C169" s="59"/>
      <c r="D169" s="72"/>
      <c r="E169" s="61"/>
      <c r="F169" s="59"/>
      <c r="G169" s="59"/>
      <c r="H169" s="62"/>
      <c r="I169" s="61"/>
      <c r="J169" s="61"/>
      <c r="K169" s="84"/>
      <c r="L169" s="63"/>
    </row>
    <row r="170" spans="2:12" ht="12" customHeight="1">
      <c r="B170" s="59"/>
      <c r="C170" s="59"/>
      <c r="D170" s="72"/>
      <c r="E170" s="61"/>
      <c r="F170" s="59"/>
      <c r="G170" s="59"/>
      <c r="H170" s="62"/>
      <c r="I170" s="61"/>
      <c r="J170" s="61"/>
      <c r="K170" s="84"/>
      <c r="L170" s="63"/>
    </row>
    <row r="171" spans="2:12" ht="12" customHeight="1">
      <c r="B171" s="59"/>
      <c r="C171" s="59"/>
      <c r="D171" s="72"/>
      <c r="E171" s="61"/>
      <c r="F171" s="59"/>
      <c r="G171" s="59"/>
      <c r="H171" s="62"/>
      <c r="I171" s="61"/>
      <c r="J171" s="61"/>
      <c r="K171" s="84"/>
      <c r="L171" s="63"/>
    </row>
    <row r="172" spans="2:12" ht="12" customHeight="1">
      <c r="B172" s="59"/>
      <c r="C172" s="59"/>
      <c r="D172" s="72"/>
      <c r="E172" s="61"/>
      <c r="F172" s="59"/>
      <c r="G172" s="59"/>
      <c r="H172" s="62"/>
      <c r="I172" s="61"/>
      <c r="J172" s="61"/>
      <c r="K172" s="84"/>
      <c r="L172" s="63"/>
    </row>
    <row r="173" spans="2:12" ht="12" customHeight="1">
      <c r="B173" s="59"/>
      <c r="C173" s="59"/>
      <c r="D173" s="72"/>
      <c r="E173" s="61"/>
      <c r="F173" s="59"/>
      <c r="G173" s="59"/>
      <c r="H173" s="62"/>
      <c r="I173" s="61"/>
      <c r="J173" s="61"/>
      <c r="K173" s="84"/>
      <c r="L173" s="63"/>
    </row>
    <row r="174" spans="2:12" ht="12" customHeight="1">
      <c r="B174" s="59"/>
      <c r="C174" s="59"/>
      <c r="D174" s="72"/>
      <c r="E174" s="61"/>
      <c r="F174" s="59"/>
      <c r="G174" s="59"/>
      <c r="H174" s="62"/>
      <c r="I174" s="61"/>
      <c r="J174" s="61"/>
      <c r="K174" s="84"/>
      <c r="L174" s="63"/>
    </row>
    <row r="175" spans="2:12" ht="12" customHeight="1">
      <c r="B175" s="59"/>
      <c r="C175" s="59"/>
      <c r="D175" s="72"/>
      <c r="E175" s="61"/>
      <c r="F175" s="59"/>
      <c r="G175" s="59"/>
      <c r="H175" s="62"/>
      <c r="I175" s="61"/>
      <c r="J175" s="61"/>
      <c r="K175" s="84"/>
      <c r="L175" s="63"/>
    </row>
    <row r="176" spans="2:12" ht="12" customHeight="1">
      <c r="B176" s="59"/>
      <c r="C176" s="59"/>
      <c r="D176" s="72"/>
      <c r="E176" s="61"/>
      <c r="F176" s="59"/>
      <c r="G176" s="59"/>
      <c r="H176" s="62"/>
      <c r="I176" s="61"/>
      <c r="J176" s="61"/>
      <c r="K176" s="84"/>
      <c r="L176" s="63"/>
    </row>
    <row r="177" spans="2:12" ht="12" customHeight="1">
      <c r="B177" s="59"/>
      <c r="C177" s="59"/>
      <c r="D177" s="72"/>
      <c r="E177" s="61"/>
      <c r="F177" s="59"/>
      <c r="G177" s="59"/>
      <c r="H177" s="62"/>
      <c r="I177" s="61"/>
      <c r="J177" s="61"/>
      <c r="K177" s="84"/>
      <c r="L177" s="63"/>
    </row>
    <row r="178" spans="2:12" ht="12" customHeight="1">
      <c r="B178" s="59"/>
      <c r="C178" s="59"/>
      <c r="D178" s="72"/>
      <c r="E178" s="61"/>
      <c r="F178" s="59"/>
      <c r="G178" s="59"/>
      <c r="H178" s="62"/>
      <c r="I178" s="61"/>
      <c r="J178" s="61"/>
      <c r="K178" s="84"/>
      <c r="L178" s="63"/>
    </row>
    <row r="179" spans="2:12" ht="12" customHeight="1">
      <c r="B179" s="59"/>
      <c r="C179" s="59"/>
      <c r="D179" s="72"/>
      <c r="E179" s="61"/>
      <c r="F179" s="59"/>
      <c r="G179" s="59"/>
      <c r="H179" s="62"/>
      <c r="I179" s="61"/>
      <c r="J179" s="61"/>
      <c r="K179" s="84"/>
      <c r="L179" s="63"/>
    </row>
    <row r="180" spans="2:12" ht="12" customHeight="1">
      <c r="B180" s="59"/>
      <c r="C180" s="59"/>
      <c r="D180" s="72"/>
      <c r="E180" s="61"/>
      <c r="F180" s="59"/>
      <c r="G180" s="59"/>
      <c r="H180" s="62"/>
      <c r="I180" s="61"/>
      <c r="J180" s="61"/>
      <c r="K180" s="84"/>
      <c r="L180" s="63"/>
    </row>
    <row r="181" spans="2:12" ht="12" customHeight="1">
      <c r="B181" s="59"/>
      <c r="C181" s="59"/>
      <c r="D181" s="72"/>
      <c r="E181" s="61"/>
      <c r="F181" s="59"/>
      <c r="G181" s="59"/>
      <c r="H181" s="62"/>
      <c r="I181" s="61"/>
      <c r="J181" s="61"/>
      <c r="K181" s="84"/>
      <c r="L181" s="63"/>
    </row>
    <row r="182" spans="2:12" ht="12" customHeight="1">
      <c r="B182" s="59"/>
      <c r="C182" s="59"/>
      <c r="D182" s="72"/>
      <c r="E182" s="61"/>
      <c r="F182" s="59"/>
      <c r="G182" s="59"/>
      <c r="H182" s="62"/>
      <c r="I182" s="61"/>
      <c r="J182" s="61"/>
      <c r="K182" s="84"/>
      <c r="L182" s="63"/>
    </row>
    <row r="183" spans="2:12" ht="12" customHeight="1">
      <c r="B183" s="59"/>
      <c r="C183" s="59"/>
      <c r="D183" s="72"/>
      <c r="E183" s="61"/>
      <c r="F183" s="59"/>
      <c r="G183" s="59"/>
      <c r="H183" s="62"/>
      <c r="I183" s="61"/>
      <c r="J183" s="61"/>
      <c r="K183" s="84"/>
      <c r="L183" s="63"/>
    </row>
    <row r="184" spans="2:12" ht="12" customHeight="1">
      <c r="B184" s="59"/>
      <c r="C184" s="59"/>
      <c r="D184" s="72"/>
      <c r="E184" s="61"/>
      <c r="F184" s="59"/>
      <c r="G184" s="59"/>
      <c r="H184" s="62"/>
      <c r="I184" s="61"/>
      <c r="J184" s="61"/>
      <c r="K184" s="84"/>
      <c r="L184" s="63"/>
    </row>
    <row r="185" spans="2:12" ht="12" customHeight="1">
      <c r="B185" s="59"/>
      <c r="C185" s="59"/>
      <c r="D185" s="72"/>
      <c r="E185" s="61"/>
      <c r="F185" s="59"/>
      <c r="G185" s="59"/>
      <c r="H185" s="62"/>
      <c r="I185" s="61"/>
      <c r="J185" s="61"/>
      <c r="K185" s="84"/>
      <c r="L185" s="63"/>
    </row>
    <row r="186" spans="2:12" ht="12" customHeight="1">
      <c r="B186" s="59"/>
      <c r="C186" s="59"/>
      <c r="D186" s="72"/>
      <c r="E186" s="61"/>
      <c r="F186" s="59"/>
      <c r="G186" s="59"/>
      <c r="H186" s="62"/>
      <c r="I186" s="61"/>
      <c r="J186" s="61"/>
      <c r="K186" s="84"/>
      <c r="L186" s="63"/>
    </row>
    <row r="187" spans="2:12" ht="12" customHeight="1">
      <c r="B187" s="59"/>
      <c r="C187" s="59"/>
      <c r="D187" s="72"/>
      <c r="E187" s="61"/>
      <c r="F187" s="59"/>
      <c r="G187" s="59"/>
      <c r="H187" s="62"/>
      <c r="I187" s="61"/>
      <c r="J187" s="61"/>
      <c r="K187" s="84"/>
      <c r="L187" s="63"/>
    </row>
    <row r="188" spans="2:12" ht="12" customHeight="1">
      <c r="B188" s="59"/>
      <c r="C188" s="59"/>
      <c r="D188" s="72"/>
      <c r="E188" s="61"/>
      <c r="F188" s="59"/>
      <c r="G188" s="59"/>
      <c r="H188" s="62"/>
      <c r="I188" s="61"/>
      <c r="J188" s="61"/>
      <c r="K188" s="84"/>
      <c r="L188" s="63"/>
    </row>
    <row r="189" spans="2:12" ht="12" customHeight="1">
      <c r="B189" s="59"/>
      <c r="C189" s="59"/>
      <c r="D189" s="72"/>
      <c r="E189" s="61"/>
      <c r="F189" s="59"/>
      <c r="G189" s="59"/>
      <c r="H189" s="62"/>
      <c r="I189" s="61"/>
      <c r="J189" s="61"/>
      <c r="K189" s="84"/>
      <c r="L189" s="63"/>
    </row>
    <row r="190" spans="2:12" ht="12" customHeight="1">
      <c r="B190" s="59"/>
      <c r="C190" s="59"/>
      <c r="D190" s="72"/>
      <c r="E190" s="61"/>
      <c r="F190" s="59"/>
      <c r="G190" s="59"/>
      <c r="H190" s="62"/>
      <c r="I190" s="61"/>
      <c r="J190" s="61"/>
      <c r="K190" s="84"/>
      <c r="L190" s="63"/>
    </row>
    <row r="191" spans="2:12" ht="12" customHeight="1">
      <c r="B191" s="59"/>
      <c r="C191" s="59"/>
      <c r="D191" s="72"/>
      <c r="E191" s="61"/>
      <c r="F191" s="59"/>
      <c r="G191" s="59"/>
      <c r="H191" s="62"/>
      <c r="I191" s="61"/>
      <c r="J191" s="61"/>
      <c r="K191" s="84"/>
      <c r="L191" s="63"/>
    </row>
    <row r="192" spans="2:12" ht="12" customHeight="1">
      <c r="B192" s="59"/>
      <c r="C192" s="59"/>
      <c r="D192" s="72"/>
      <c r="E192" s="61"/>
      <c r="F192" s="59"/>
      <c r="G192" s="59"/>
      <c r="H192" s="62"/>
      <c r="I192" s="61"/>
      <c r="J192" s="61"/>
      <c r="K192" s="84"/>
      <c r="L192" s="63"/>
    </row>
    <row r="193" spans="2:12" ht="12" customHeight="1">
      <c r="B193" s="59"/>
      <c r="C193" s="59"/>
      <c r="D193" s="72"/>
      <c r="E193" s="61"/>
      <c r="F193" s="59"/>
      <c r="G193" s="59"/>
      <c r="H193" s="62"/>
      <c r="I193" s="61"/>
      <c r="J193" s="61"/>
      <c r="K193" s="84"/>
      <c r="L193" s="63"/>
    </row>
    <row r="194" spans="2:12" ht="12" customHeight="1">
      <c r="B194" s="59"/>
      <c r="C194" s="59"/>
      <c r="D194" s="72"/>
      <c r="E194" s="61"/>
      <c r="F194" s="59"/>
      <c r="G194" s="59"/>
      <c r="H194" s="62"/>
      <c r="I194" s="61"/>
      <c r="J194" s="61"/>
      <c r="K194" s="84"/>
      <c r="L194" s="63"/>
    </row>
    <row r="195" spans="2:12" ht="12" customHeight="1">
      <c r="B195" s="59"/>
      <c r="C195" s="59"/>
      <c r="D195" s="72"/>
      <c r="E195" s="61"/>
      <c r="F195" s="59"/>
      <c r="G195" s="59"/>
      <c r="H195" s="62"/>
      <c r="I195" s="61"/>
      <c r="J195" s="61"/>
      <c r="K195" s="84"/>
      <c r="L195" s="63"/>
    </row>
    <row r="196" spans="2:12" ht="12" customHeight="1">
      <c r="B196" s="59"/>
      <c r="C196" s="59"/>
      <c r="D196" s="72"/>
      <c r="E196" s="61"/>
      <c r="F196" s="59"/>
      <c r="G196" s="59"/>
      <c r="H196" s="62"/>
      <c r="I196" s="61"/>
      <c r="J196" s="61"/>
      <c r="K196" s="84"/>
      <c r="L196" s="63"/>
    </row>
    <row r="197" spans="2:12" ht="12" customHeight="1">
      <c r="B197" s="59"/>
      <c r="C197" s="59"/>
      <c r="D197" s="72"/>
      <c r="E197" s="61"/>
      <c r="F197" s="59"/>
      <c r="G197" s="59"/>
      <c r="H197" s="62"/>
      <c r="I197" s="61"/>
      <c r="J197" s="61"/>
      <c r="K197" s="84"/>
      <c r="L197" s="63"/>
    </row>
    <row r="198" spans="2:12" ht="12" customHeight="1">
      <c r="B198" s="59"/>
      <c r="C198" s="59"/>
      <c r="D198" s="72"/>
      <c r="E198" s="61"/>
      <c r="F198" s="59"/>
      <c r="G198" s="59"/>
      <c r="H198" s="62"/>
      <c r="I198" s="61"/>
      <c r="J198" s="61"/>
      <c r="K198" s="84"/>
      <c r="L198" s="63"/>
    </row>
    <row r="199" spans="2:12" ht="12" customHeight="1">
      <c r="B199" s="59"/>
      <c r="C199" s="59"/>
      <c r="D199" s="72"/>
      <c r="E199" s="61"/>
      <c r="F199" s="59"/>
      <c r="G199" s="59"/>
      <c r="H199" s="62"/>
      <c r="I199" s="61"/>
      <c r="J199" s="61"/>
      <c r="K199" s="84"/>
      <c r="L199" s="63"/>
    </row>
    <row r="200" spans="2:12" ht="12" customHeight="1">
      <c r="B200" s="59"/>
      <c r="C200" s="59"/>
      <c r="D200" s="72"/>
      <c r="E200" s="61"/>
      <c r="F200" s="59"/>
      <c r="G200" s="59"/>
      <c r="H200" s="62"/>
      <c r="I200" s="61"/>
      <c r="J200" s="61"/>
      <c r="K200" s="84"/>
      <c r="L200" s="63"/>
    </row>
    <row r="201" spans="2:12" ht="12" customHeight="1">
      <c r="B201" s="59"/>
      <c r="C201" s="59"/>
      <c r="D201" s="72"/>
      <c r="E201" s="61"/>
      <c r="F201" s="59"/>
      <c r="G201" s="59"/>
      <c r="H201" s="62"/>
      <c r="I201" s="61"/>
      <c r="J201" s="61"/>
      <c r="K201" s="84"/>
      <c r="L201" s="63"/>
    </row>
    <row r="202" spans="2:12" ht="12" customHeight="1">
      <c r="B202" s="59"/>
      <c r="C202" s="59"/>
      <c r="D202" s="72"/>
      <c r="E202" s="61"/>
      <c r="F202" s="59"/>
      <c r="G202" s="59"/>
      <c r="H202" s="62"/>
      <c r="I202" s="61"/>
      <c r="J202" s="61"/>
      <c r="K202" s="84"/>
      <c r="L202" s="63"/>
    </row>
    <row r="203" spans="2:12" ht="12" customHeight="1">
      <c r="B203" s="59"/>
      <c r="C203" s="59"/>
      <c r="D203" s="72"/>
      <c r="E203" s="61"/>
      <c r="F203" s="59"/>
      <c r="G203" s="59"/>
      <c r="H203" s="62"/>
      <c r="I203" s="61"/>
      <c r="J203" s="61"/>
      <c r="K203" s="84"/>
      <c r="L203" s="63"/>
    </row>
    <row r="204" spans="2:12" ht="12" customHeight="1">
      <c r="B204" s="59"/>
      <c r="C204" s="59"/>
      <c r="D204" s="72"/>
      <c r="E204" s="61"/>
      <c r="F204" s="59"/>
      <c r="G204" s="59"/>
      <c r="H204" s="62"/>
      <c r="I204" s="61"/>
      <c r="J204" s="61"/>
      <c r="K204" s="84"/>
      <c r="L204" s="63"/>
    </row>
    <row r="205" spans="2:12" ht="12" customHeight="1">
      <c r="B205" s="59"/>
      <c r="C205" s="59"/>
      <c r="D205" s="72"/>
      <c r="E205" s="61"/>
      <c r="F205" s="59"/>
      <c r="G205" s="59"/>
      <c r="H205" s="62"/>
      <c r="I205" s="61"/>
      <c r="J205" s="61"/>
      <c r="K205" s="84"/>
      <c r="L205" s="63"/>
    </row>
    <row r="206" spans="2:12" ht="12" customHeight="1">
      <c r="B206" s="59"/>
      <c r="C206" s="59"/>
      <c r="D206" s="72"/>
      <c r="E206" s="61"/>
      <c r="F206" s="59"/>
      <c r="G206" s="59"/>
      <c r="H206" s="62"/>
      <c r="I206" s="61"/>
      <c r="J206" s="61"/>
      <c r="K206" s="84"/>
      <c r="L206" s="63"/>
    </row>
    <row r="207" spans="2:12" ht="12" customHeight="1">
      <c r="B207" s="59"/>
      <c r="C207" s="59"/>
      <c r="D207" s="72"/>
      <c r="E207" s="61"/>
      <c r="F207" s="59"/>
      <c r="G207" s="59"/>
      <c r="H207" s="62"/>
      <c r="I207" s="61"/>
      <c r="J207" s="61"/>
      <c r="K207" s="84"/>
      <c r="L207" s="63"/>
    </row>
    <row r="208" spans="2:12" ht="12" customHeight="1">
      <c r="B208" s="59"/>
      <c r="C208" s="59"/>
      <c r="D208" s="72"/>
      <c r="E208" s="61"/>
      <c r="F208" s="59"/>
      <c r="G208" s="59"/>
      <c r="H208" s="62"/>
      <c r="I208" s="61"/>
      <c r="J208" s="61"/>
      <c r="K208" s="84"/>
      <c r="L208" s="63"/>
    </row>
    <row r="209" spans="2:12" ht="12" customHeight="1">
      <c r="B209" s="59"/>
      <c r="C209" s="59"/>
      <c r="D209" s="72"/>
      <c r="E209" s="61"/>
      <c r="F209" s="59"/>
      <c r="G209" s="59"/>
      <c r="H209" s="62"/>
      <c r="I209" s="61"/>
      <c r="J209" s="61"/>
      <c r="K209" s="84"/>
      <c r="L209" s="63"/>
    </row>
    <row r="210" spans="2:12" ht="12" customHeight="1">
      <c r="B210" s="59"/>
      <c r="C210" s="59"/>
      <c r="D210" s="72"/>
      <c r="E210" s="61"/>
      <c r="F210" s="59"/>
      <c r="G210" s="59"/>
      <c r="H210" s="62"/>
      <c r="I210" s="61"/>
      <c r="J210" s="61"/>
      <c r="K210" s="84"/>
      <c r="L210" s="63"/>
    </row>
    <row r="211" spans="2:12" ht="12" customHeight="1">
      <c r="B211" s="59"/>
      <c r="C211" s="59"/>
      <c r="D211" s="72"/>
      <c r="E211" s="61"/>
      <c r="F211" s="59"/>
      <c r="G211" s="59"/>
      <c r="H211" s="62"/>
      <c r="I211" s="61"/>
      <c r="J211" s="61"/>
      <c r="K211" s="84"/>
      <c r="L211" s="63"/>
    </row>
    <row r="212" spans="2:12" ht="12" customHeight="1">
      <c r="B212" s="59"/>
      <c r="C212" s="59"/>
      <c r="D212" s="72"/>
      <c r="E212" s="61"/>
      <c r="F212" s="59"/>
      <c r="G212" s="59"/>
      <c r="H212" s="62"/>
      <c r="I212" s="61"/>
      <c r="J212" s="61"/>
      <c r="K212" s="84"/>
      <c r="L212" s="63"/>
    </row>
    <row r="213" spans="2:12" ht="12" customHeight="1">
      <c r="B213" s="59"/>
      <c r="C213" s="59"/>
      <c r="D213" s="72"/>
      <c r="E213" s="61"/>
      <c r="F213" s="59"/>
      <c r="G213" s="59"/>
      <c r="H213" s="62"/>
      <c r="I213" s="61"/>
      <c r="J213" s="61"/>
      <c r="K213" s="84"/>
      <c r="L213" s="63"/>
    </row>
    <row r="214" spans="2:12" ht="12" customHeight="1">
      <c r="B214" s="59"/>
      <c r="C214" s="59"/>
      <c r="D214" s="72"/>
      <c r="E214" s="61"/>
      <c r="F214" s="59"/>
      <c r="G214" s="59"/>
      <c r="H214" s="62"/>
      <c r="I214" s="61"/>
      <c r="J214" s="61"/>
      <c r="K214" s="84"/>
      <c r="L214" s="63"/>
    </row>
    <row r="215" spans="2:12" ht="12" customHeight="1">
      <c r="B215" s="59"/>
      <c r="C215" s="59"/>
      <c r="D215" s="72"/>
      <c r="E215" s="61"/>
      <c r="F215" s="59"/>
      <c r="G215" s="59"/>
      <c r="H215" s="62"/>
      <c r="I215" s="61"/>
      <c r="J215" s="61"/>
      <c r="K215" s="84"/>
      <c r="L215" s="63"/>
    </row>
    <row r="216" spans="2:12" ht="12" customHeight="1">
      <c r="B216" s="26"/>
      <c r="C216" s="26"/>
      <c r="D216" s="79"/>
      <c r="E216" s="28"/>
      <c r="F216" s="26"/>
      <c r="G216" s="26"/>
      <c r="H216" s="58"/>
      <c r="I216" s="28"/>
      <c r="J216" s="28"/>
      <c r="K216" s="83"/>
      <c r="L216" s="29"/>
    </row>
    <row r="217" spans="2:12" ht="12" customHeight="1">
      <c r="B217" s="26"/>
      <c r="C217" s="26"/>
      <c r="D217" s="79"/>
      <c r="E217" s="28"/>
      <c r="F217" s="26"/>
      <c r="G217" s="26"/>
      <c r="H217" s="58"/>
      <c r="I217" s="28"/>
      <c r="J217" s="28"/>
      <c r="K217" s="83"/>
      <c r="L217" s="29"/>
    </row>
    <row r="218" spans="2:12" ht="12" customHeight="1">
      <c r="B218" s="26"/>
      <c r="C218" s="26"/>
      <c r="D218" s="79"/>
      <c r="E218" s="28"/>
      <c r="F218" s="26"/>
      <c r="G218" s="26"/>
      <c r="H218" s="58"/>
      <c r="I218" s="28"/>
      <c r="J218" s="28"/>
      <c r="K218" s="83"/>
      <c r="L218" s="29"/>
    </row>
    <row r="219" spans="2:12" ht="12" customHeight="1">
      <c r="B219" s="26"/>
      <c r="C219" s="26"/>
      <c r="D219" s="79"/>
      <c r="E219" s="28"/>
      <c r="F219" s="26"/>
      <c r="G219" s="26"/>
      <c r="H219" s="58"/>
      <c r="I219" s="28"/>
      <c r="J219" s="28"/>
      <c r="K219" s="83"/>
      <c r="L219" s="29"/>
    </row>
    <row r="220" spans="2:12" ht="12" customHeight="1">
      <c r="B220" s="26"/>
      <c r="C220" s="26"/>
      <c r="D220" s="79"/>
      <c r="E220" s="28"/>
      <c r="F220" s="26"/>
      <c r="G220" s="26"/>
      <c r="H220" s="58"/>
      <c r="I220" s="28"/>
      <c r="J220" s="28"/>
      <c r="K220" s="83"/>
      <c r="L220" s="29"/>
    </row>
    <row r="221" spans="2:12" ht="12" customHeight="1">
      <c r="B221" s="26"/>
      <c r="C221" s="26"/>
      <c r="D221" s="79"/>
      <c r="E221" s="28"/>
      <c r="F221" s="26"/>
      <c r="G221" s="26"/>
      <c r="H221" s="58"/>
      <c r="I221" s="28"/>
      <c r="J221" s="28"/>
      <c r="K221" s="83"/>
      <c r="L221" s="29"/>
    </row>
    <row r="222" spans="2:12" ht="12" customHeight="1">
      <c r="B222" s="26"/>
      <c r="C222" s="26"/>
      <c r="D222" s="79"/>
      <c r="E222" s="28"/>
      <c r="F222" s="26"/>
      <c r="G222" s="26"/>
      <c r="H222" s="58"/>
      <c r="I222" s="28"/>
      <c r="J222" s="28"/>
      <c r="K222" s="83"/>
      <c r="L222" s="29"/>
    </row>
    <row r="223" spans="2:12" ht="12" customHeight="1">
      <c r="B223" s="26"/>
      <c r="C223" s="26"/>
      <c r="D223" s="79"/>
      <c r="E223" s="28"/>
      <c r="F223" s="26"/>
      <c r="G223" s="26"/>
      <c r="H223" s="58"/>
      <c r="I223" s="28"/>
      <c r="J223" s="28"/>
      <c r="K223" s="83"/>
      <c r="L223" s="29"/>
    </row>
    <row r="224" spans="2:12" ht="12" customHeight="1">
      <c r="B224" s="26"/>
      <c r="C224" s="26"/>
      <c r="D224" s="79"/>
      <c r="E224" s="28"/>
      <c r="F224" s="26"/>
      <c r="G224" s="26"/>
      <c r="H224" s="58"/>
      <c r="I224" s="28"/>
      <c r="J224" s="28"/>
      <c r="K224" s="83"/>
      <c r="L224" s="29"/>
    </row>
    <row r="225" spans="2:12" ht="12" customHeight="1">
      <c r="B225" s="26"/>
      <c r="C225" s="26"/>
      <c r="D225" s="79"/>
      <c r="E225" s="28"/>
      <c r="F225" s="26"/>
      <c r="G225" s="26"/>
      <c r="H225" s="58"/>
      <c r="I225" s="28"/>
      <c r="J225" s="28"/>
      <c r="K225" s="83"/>
      <c r="L225" s="29"/>
    </row>
    <row r="226" spans="2:12" ht="12" customHeight="1">
      <c r="B226" s="26"/>
      <c r="C226" s="26"/>
      <c r="D226" s="79"/>
      <c r="E226" s="28"/>
      <c r="F226" s="26"/>
      <c r="G226" s="26"/>
      <c r="H226" s="58"/>
      <c r="I226" s="28"/>
      <c r="J226" s="28"/>
      <c r="K226" s="83"/>
      <c r="L226" s="29"/>
    </row>
    <row r="227" spans="2:12" ht="12" customHeight="1">
      <c r="B227" s="26"/>
      <c r="C227" s="26"/>
      <c r="D227" s="79"/>
      <c r="E227" s="28"/>
      <c r="F227" s="26"/>
      <c r="G227" s="26"/>
      <c r="H227" s="58"/>
      <c r="I227" s="28"/>
      <c r="J227" s="28"/>
      <c r="K227" s="83"/>
      <c r="L227" s="29"/>
    </row>
    <row r="228" spans="2:12" ht="12" customHeight="1">
      <c r="B228" s="26"/>
      <c r="C228" s="26"/>
      <c r="D228" s="79"/>
      <c r="E228" s="28"/>
      <c r="F228" s="26"/>
      <c r="G228" s="26"/>
      <c r="H228" s="58"/>
      <c r="I228" s="28"/>
      <c r="J228" s="28"/>
      <c r="K228" s="83"/>
      <c r="L228" s="29"/>
    </row>
    <row r="229" spans="2:12" ht="12" customHeight="1">
      <c r="B229" s="26"/>
      <c r="C229" s="26"/>
      <c r="D229" s="79"/>
      <c r="E229" s="28"/>
      <c r="F229" s="26"/>
      <c r="G229" s="26"/>
      <c r="H229" s="58"/>
      <c r="I229" s="28"/>
      <c r="J229" s="28"/>
      <c r="K229" s="83"/>
      <c r="L229" s="29"/>
    </row>
    <row r="230" spans="2:12" ht="12" customHeight="1">
      <c r="B230" s="26"/>
      <c r="C230" s="26"/>
      <c r="D230" s="79"/>
      <c r="E230" s="28"/>
      <c r="F230" s="26"/>
      <c r="G230" s="26"/>
      <c r="H230" s="58"/>
      <c r="I230" s="28"/>
      <c r="J230" s="28"/>
      <c r="K230" s="83"/>
      <c r="L230" s="29"/>
    </row>
    <row r="231" spans="2:12" ht="12" customHeight="1">
      <c r="B231" s="26"/>
      <c r="C231" s="26"/>
      <c r="D231" s="79"/>
      <c r="E231" s="28"/>
      <c r="F231" s="26"/>
      <c r="G231" s="26"/>
      <c r="H231" s="58"/>
      <c r="I231" s="28"/>
      <c r="J231" s="28"/>
      <c r="K231" s="83"/>
      <c r="L231" s="29"/>
    </row>
    <row r="232" spans="2:12" ht="12" customHeight="1">
      <c r="B232" s="26"/>
      <c r="C232" s="26"/>
      <c r="D232" s="79"/>
      <c r="E232" s="28"/>
      <c r="F232" s="26"/>
      <c r="G232" s="26"/>
      <c r="H232" s="58"/>
      <c r="I232" s="28"/>
      <c r="J232" s="28"/>
      <c r="K232" s="83"/>
      <c r="L232" s="29"/>
    </row>
    <row r="233" spans="2:12" ht="12" customHeight="1">
      <c r="B233" s="26"/>
      <c r="C233" s="26"/>
      <c r="D233" s="79"/>
      <c r="E233" s="28"/>
      <c r="F233" s="26"/>
      <c r="G233" s="26"/>
      <c r="H233" s="58"/>
      <c r="I233" s="28"/>
      <c r="J233" s="28"/>
      <c r="K233" s="83"/>
      <c r="L233" s="29"/>
    </row>
    <row r="234" spans="2:12" ht="12" customHeight="1">
      <c r="B234" s="26"/>
      <c r="C234" s="26"/>
      <c r="D234" s="79"/>
      <c r="E234" s="28"/>
      <c r="F234" s="26"/>
      <c r="G234" s="26"/>
      <c r="H234" s="58"/>
      <c r="I234" s="28"/>
      <c r="J234" s="28"/>
      <c r="K234" s="83"/>
      <c r="L234" s="29"/>
    </row>
    <row r="235" spans="2:12" ht="12" customHeight="1">
      <c r="B235" s="26"/>
      <c r="C235" s="26"/>
      <c r="D235" s="79"/>
      <c r="E235" s="28"/>
      <c r="F235" s="26"/>
      <c r="G235" s="26"/>
      <c r="H235" s="58"/>
      <c r="I235" s="28"/>
      <c r="J235" s="28"/>
      <c r="K235" s="83"/>
      <c r="L235" s="29"/>
    </row>
    <row r="236" spans="2:12" ht="12" customHeight="1">
      <c r="B236" s="26"/>
      <c r="C236" s="26"/>
      <c r="D236" s="79"/>
      <c r="E236" s="28"/>
      <c r="F236" s="26"/>
      <c r="G236" s="26"/>
      <c r="H236" s="58"/>
      <c r="I236" s="28"/>
      <c r="J236" s="28"/>
      <c r="K236" s="83"/>
      <c r="L236" s="29"/>
    </row>
    <row r="237" spans="2:12" ht="12" customHeight="1">
      <c r="B237" s="26"/>
      <c r="C237" s="26"/>
      <c r="D237" s="79"/>
      <c r="E237" s="28"/>
      <c r="F237" s="26"/>
      <c r="G237" s="26"/>
      <c r="H237" s="58"/>
      <c r="I237" s="28"/>
      <c r="J237" s="28"/>
      <c r="K237" s="83"/>
      <c r="L237" s="29"/>
    </row>
    <row r="238" spans="2:12" ht="12" customHeight="1">
      <c r="B238" s="26"/>
      <c r="C238" s="26"/>
      <c r="D238" s="79"/>
      <c r="E238" s="28"/>
      <c r="F238" s="26"/>
      <c r="G238" s="26"/>
      <c r="H238" s="58"/>
      <c r="I238" s="28"/>
      <c r="J238" s="28"/>
      <c r="K238" s="83"/>
      <c r="L238" s="29"/>
    </row>
    <row r="239" spans="2:12" ht="12" customHeight="1">
      <c r="B239" s="26"/>
      <c r="C239" s="26"/>
      <c r="D239" s="79"/>
      <c r="E239" s="28"/>
      <c r="F239" s="26"/>
      <c r="G239" s="26"/>
      <c r="H239" s="58"/>
      <c r="I239" s="28"/>
      <c r="J239" s="28"/>
      <c r="K239" s="83"/>
      <c r="L239" s="29"/>
    </row>
    <row r="240" spans="2:12" ht="12" customHeight="1">
      <c r="B240" s="26"/>
      <c r="C240" s="26"/>
      <c r="D240" s="79"/>
      <c r="E240" s="28"/>
      <c r="F240" s="26"/>
      <c r="G240" s="26"/>
      <c r="H240" s="58"/>
      <c r="I240" s="28"/>
      <c r="J240" s="28"/>
      <c r="K240" s="83"/>
      <c r="L240" s="29"/>
    </row>
    <row r="241" spans="2:12" ht="12" customHeight="1">
      <c r="B241" s="26"/>
      <c r="C241" s="26"/>
      <c r="D241" s="79"/>
      <c r="E241" s="28"/>
      <c r="F241" s="26"/>
      <c r="G241" s="26"/>
      <c r="H241" s="58"/>
      <c r="I241" s="28"/>
      <c r="J241" s="28"/>
      <c r="K241" s="83"/>
      <c r="L241" s="29"/>
    </row>
    <row r="242" spans="2:12" ht="12" customHeight="1">
      <c r="B242" s="26"/>
      <c r="C242" s="26"/>
      <c r="D242" s="79"/>
      <c r="E242" s="28"/>
      <c r="F242" s="26"/>
      <c r="G242" s="26"/>
      <c r="H242" s="58"/>
      <c r="I242" s="28"/>
      <c r="J242" s="28"/>
      <c r="K242" s="83"/>
      <c r="L242" s="29"/>
    </row>
    <row r="243" spans="2:12" ht="12" customHeight="1">
      <c r="B243" s="26"/>
      <c r="C243" s="26"/>
      <c r="D243" s="79"/>
      <c r="E243" s="28"/>
      <c r="F243" s="26"/>
      <c r="G243" s="26"/>
      <c r="H243" s="58"/>
      <c r="I243" s="28"/>
      <c r="J243" s="28"/>
      <c r="K243" s="83"/>
      <c r="L243" s="29"/>
    </row>
    <row r="244" spans="2:12" ht="12" customHeight="1">
      <c r="B244" s="26"/>
      <c r="C244" s="26"/>
      <c r="D244" s="79"/>
      <c r="E244" s="28"/>
      <c r="F244" s="26"/>
      <c r="G244" s="26"/>
      <c r="H244" s="58"/>
      <c r="I244" s="28"/>
      <c r="J244" s="28"/>
      <c r="K244" s="83"/>
      <c r="L244" s="29"/>
    </row>
    <row r="245" spans="2:12" ht="12" customHeight="1">
      <c r="B245" s="26"/>
      <c r="C245" s="26"/>
      <c r="D245" s="79"/>
      <c r="E245" s="28"/>
      <c r="F245" s="26"/>
      <c r="G245" s="26"/>
      <c r="H245" s="58"/>
      <c r="I245" s="28"/>
      <c r="J245" s="28"/>
      <c r="K245" s="83"/>
      <c r="L245" s="29"/>
    </row>
    <row r="246" spans="2:12" ht="12" customHeight="1">
      <c r="B246" s="26"/>
      <c r="C246" s="26"/>
      <c r="D246" s="79"/>
      <c r="E246" s="28"/>
      <c r="F246" s="26"/>
      <c r="G246" s="26"/>
      <c r="H246" s="58"/>
      <c r="I246" s="28"/>
      <c r="J246" s="28"/>
      <c r="K246" s="83"/>
      <c r="L246" s="29"/>
    </row>
    <row r="247" spans="2:12" ht="12" customHeight="1">
      <c r="B247" s="26"/>
      <c r="C247" s="26"/>
      <c r="D247" s="79"/>
      <c r="E247" s="28"/>
      <c r="F247" s="26"/>
      <c r="G247" s="26"/>
      <c r="H247" s="58"/>
      <c r="I247" s="28"/>
      <c r="J247" s="28"/>
      <c r="K247" s="83"/>
      <c r="L247" s="29"/>
    </row>
    <row r="248" spans="2:12" ht="12" customHeight="1">
      <c r="B248" s="26"/>
      <c r="C248" s="26"/>
      <c r="D248" s="79"/>
      <c r="E248" s="28"/>
      <c r="F248" s="26"/>
      <c r="G248" s="26"/>
      <c r="H248" s="58"/>
      <c r="I248" s="28"/>
      <c r="J248" s="28"/>
      <c r="K248" s="83"/>
      <c r="L248" s="29"/>
    </row>
    <row r="249" spans="2:12" ht="12" customHeight="1">
      <c r="B249" s="26"/>
      <c r="C249" s="26"/>
      <c r="D249" s="79"/>
      <c r="E249" s="28"/>
      <c r="F249" s="26"/>
      <c r="G249" s="26"/>
      <c r="H249" s="58"/>
      <c r="I249" s="28"/>
      <c r="J249" s="28"/>
      <c r="K249" s="83"/>
      <c r="L249" s="29"/>
    </row>
    <row r="250" spans="2:12" ht="12" customHeight="1">
      <c r="B250" s="26"/>
      <c r="C250" s="26"/>
      <c r="D250" s="79"/>
      <c r="E250" s="28"/>
      <c r="F250" s="26"/>
      <c r="G250" s="26"/>
      <c r="H250" s="58"/>
      <c r="I250" s="28"/>
      <c r="J250" s="28"/>
      <c r="K250" s="83"/>
      <c r="L250" s="29"/>
    </row>
    <row r="251" spans="2:12" ht="12" customHeight="1">
      <c r="B251" s="26"/>
      <c r="C251" s="26"/>
      <c r="D251" s="79"/>
      <c r="E251" s="28"/>
      <c r="F251" s="26"/>
      <c r="G251" s="26"/>
      <c r="H251" s="58"/>
      <c r="I251" s="28"/>
      <c r="J251" s="28"/>
      <c r="K251" s="83"/>
      <c r="L251" s="29"/>
    </row>
    <row r="252" spans="2:12" ht="12" customHeight="1">
      <c r="B252" s="26"/>
      <c r="C252" s="26"/>
      <c r="D252" s="79"/>
      <c r="E252" s="28"/>
      <c r="F252" s="26"/>
      <c r="G252" s="26"/>
      <c r="H252" s="58"/>
      <c r="I252" s="28"/>
      <c r="J252" s="28"/>
      <c r="K252" s="83"/>
      <c r="L252" s="29"/>
    </row>
    <row r="253" spans="2:12" ht="12" customHeight="1">
      <c r="B253" s="26"/>
      <c r="C253" s="26"/>
      <c r="D253" s="79"/>
      <c r="E253" s="28"/>
      <c r="F253" s="26"/>
      <c r="G253" s="26"/>
      <c r="H253" s="58"/>
      <c r="I253" s="28"/>
      <c r="J253" s="28"/>
      <c r="K253" s="83"/>
      <c r="L253" s="29"/>
    </row>
    <row r="254" spans="2:12" ht="12" customHeight="1">
      <c r="B254" s="26"/>
      <c r="C254" s="26"/>
      <c r="D254" s="79"/>
      <c r="E254" s="28"/>
      <c r="F254" s="26"/>
      <c r="G254" s="26"/>
      <c r="H254" s="58"/>
      <c r="I254" s="28"/>
      <c r="J254" s="28"/>
      <c r="K254" s="83"/>
      <c r="L254" s="29"/>
    </row>
    <row r="255" spans="2:12" ht="12" customHeight="1">
      <c r="B255" s="26"/>
      <c r="C255" s="26"/>
      <c r="D255" s="79"/>
      <c r="E255" s="28"/>
      <c r="F255" s="26"/>
      <c r="G255" s="26"/>
      <c r="H255" s="58"/>
      <c r="I255" s="28"/>
      <c r="J255" s="28"/>
      <c r="K255" s="83"/>
      <c r="L255" s="29"/>
    </row>
    <row r="256" spans="2:12" ht="12" customHeight="1">
      <c r="B256" s="26"/>
      <c r="C256" s="26"/>
      <c r="D256" s="79"/>
      <c r="E256" s="28"/>
      <c r="F256" s="26"/>
      <c r="G256" s="26"/>
      <c r="H256" s="58"/>
      <c r="I256" s="28"/>
      <c r="J256" s="28"/>
      <c r="K256" s="83"/>
      <c r="L256" s="29"/>
    </row>
    <row r="257" spans="2:12" ht="12" customHeight="1">
      <c r="B257" s="26"/>
      <c r="C257" s="26"/>
      <c r="D257" s="79"/>
      <c r="E257" s="28"/>
      <c r="F257" s="26"/>
      <c r="G257" s="26"/>
      <c r="H257" s="58"/>
      <c r="I257" s="28"/>
      <c r="J257" s="28"/>
      <c r="K257" s="83"/>
      <c r="L257" s="29"/>
    </row>
    <row r="258" spans="2:12" ht="12" customHeight="1">
      <c r="B258" s="26"/>
      <c r="C258" s="26"/>
      <c r="D258" s="79"/>
      <c r="E258" s="28"/>
      <c r="F258" s="26"/>
      <c r="G258" s="26"/>
      <c r="H258" s="58"/>
      <c r="I258" s="28"/>
      <c r="J258" s="28"/>
      <c r="K258" s="83"/>
      <c r="L258" s="29"/>
    </row>
    <row r="259" spans="2:12" ht="12" customHeight="1">
      <c r="B259" s="26"/>
      <c r="C259" s="26"/>
      <c r="D259" s="79"/>
      <c r="E259" s="28"/>
      <c r="F259" s="26"/>
      <c r="G259" s="26"/>
      <c r="H259" s="58"/>
      <c r="I259" s="28"/>
      <c r="J259" s="28"/>
      <c r="K259" s="83"/>
      <c r="L259" s="29"/>
    </row>
    <row r="260" spans="2:12" ht="12" customHeight="1">
      <c r="B260" s="26"/>
      <c r="C260" s="26"/>
      <c r="D260" s="79"/>
      <c r="E260" s="28"/>
      <c r="F260" s="26"/>
      <c r="G260" s="26"/>
      <c r="H260" s="58"/>
      <c r="I260" s="28"/>
      <c r="J260" s="28"/>
      <c r="K260" s="83"/>
      <c r="L260" s="29"/>
    </row>
    <row r="261" spans="2:12" ht="12" customHeight="1">
      <c r="B261" s="26"/>
      <c r="C261" s="26"/>
      <c r="D261" s="79"/>
      <c r="E261" s="28"/>
      <c r="F261" s="26"/>
      <c r="G261" s="26"/>
      <c r="H261" s="58"/>
      <c r="I261" s="28"/>
      <c r="J261" s="28"/>
      <c r="K261" s="83"/>
      <c r="L261" s="29"/>
    </row>
    <row r="262" spans="2:12" ht="12" customHeight="1">
      <c r="B262" s="26"/>
      <c r="C262" s="26"/>
      <c r="D262" s="79"/>
      <c r="E262" s="28"/>
      <c r="F262" s="26"/>
      <c r="G262" s="26"/>
      <c r="H262" s="58"/>
      <c r="I262" s="28"/>
      <c r="J262" s="28"/>
      <c r="K262" s="83"/>
      <c r="L262" s="29"/>
    </row>
    <row r="263" spans="2:12" ht="12" customHeight="1">
      <c r="B263" s="26"/>
      <c r="C263" s="26"/>
      <c r="D263" s="79"/>
      <c r="E263" s="28"/>
      <c r="F263" s="26"/>
      <c r="G263" s="26"/>
      <c r="H263" s="58"/>
      <c r="I263" s="28"/>
      <c r="J263" s="28"/>
      <c r="K263" s="83"/>
      <c r="L263" s="29"/>
    </row>
    <row r="264" spans="2:12" ht="12" customHeight="1">
      <c r="B264" s="26"/>
      <c r="C264" s="26"/>
      <c r="D264" s="79"/>
      <c r="E264" s="28"/>
      <c r="F264" s="26"/>
      <c r="G264" s="26"/>
      <c r="H264" s="58"/>
      <c r="I264" s="28"/>
      <c r="J264" s="28"/>
      <c r="K264" s="83"/>
      <c r="L264" s="29"/>
    </row>
    <row r="265" spans="2:12" ht="12" customHeight="1">
      <c r="B265" s="26"/>
      <c r="C265" s="26"/>
      <c r="D265" s="79"/>
      <c r="E265" s="28"/>
      <c r="F265" s="26"/>
      <c r="G265" s="26"/>
      <c r="H265" s="58"/>
      <c r="I265" s="28"/>
      <c r="J265" s="28"/>
      <c r="K265" s="83"/>
      <c r="L265" s="29"/>
    </row>
    <row r="266" spans="2:12" ht="12" customHeight="1">
      <c r="B266" s="26"/>
      <c r="C266" s="26"/>
      <c r="D266" s="79"/>
      <c r="E266" s="28"/>
      <c r="F266" s="26"/>
      <c r="G266" s="26"/>
      <c r="H266" s="58"/>
      <c r="I266" s="28"/>
      <c r="J266" s="28"/>
      <c r="K266" s="83"/>
      <c r="L266" s="29"/>
    </row>
    <row r="267" spans="2:12" ht="12" customHeight="1">
      <c r="B267" s="26"/>
      <c r="C267" s="26"/>
      <c r="D267" s="79"/>
      <c r="E267" s="28"/>
      <c r="F267" s="26"/>
      <c r="G267" s="26"/>
      <c r="H267" s="58"/>
      <c r="I267" s="28"/>
      <c r="J267" s="28"/>
      <c r="K267" s="83"/>
      <c r="L267" s="29"/>
    </row>
    <row r="268" spans="2:12" ht="12" customHeight="1">
      <c r="B268" s="26"/>
      <c r="C268" s="26"/>
      <c r="D268" s="79"/>
      <c r="E268" s="28"/>
      <c r="F268" s="26"/>
      <c r="G268" s="26"/>
      <c r="H268" s="58"/>
      <c r="I268" s="28"/>
      <c r="J268" s="28"/>
      <c r="K268" s="83"/>
      <c r="L268" s="29"/>
    </row>
    <row r="269" spans="2:12" ht="12" customHeight="1">
      <c r="B269" s="26"/>
      <c r="C269" s="26"/>
      <c r="D269" s="79"/>
      <c r="E269" s="28"/>
      <c r="F269" s="26"/>
      <c r="G269" s="26"/>
      <c r="H269" s="58"/>
      <c r="I269" s="28"/>
      <c r="J269" s="28"/>
      <c r="K269" s="83"/>
      <c r="L269" s="29"/>
    </row>
    <row r="270" spans="2:12" ht="12" customHeight="1">
      <c r="B270" s="26"/>
      <c r="C270" s="26"/>
      <c r="D270" s="79"/>
      <c r="E270" s="28"/>
      <c r="F270" s="26"/>
      <c r="G270" s="26"/>
      <c r="H270" s="58"/>
      <c r="I270" s="28"/>
      <c r="J270" s="28"/>
      <c r="K270" s="83"/>
      <c r="L270" s="29"/>
    </row>
    <row r="271" spans="2:12" ht="12" customHeight="1">
      <c r="B271" s="26"/>
      <c r="C271" s="26"/>
      <c r="D271" s="79"/>
      <c r="E271" s="28"/>
      <c r="F271" s="26"/>
      <c r="G271" s="26"/>
      <c r="H271" s="58"/>
      <c r="I271" s="28"/>
      <c r="J271" s="28"/>
      <c r="K271" s="83"/>
      <c r="L271" s="29"/>
    </row>
    <row r="272" spans="2:12" ht="12" customHeight="1">
      <c r="B272" s="26"/>
      <c r="C272" s="26"/>
      <c r="D272" s="79"/>
      <c r="E272" s="28"/>
      <c r="F272" s="26"/>
      <c r="G272" s="26"/>
      <c r="H272" s="58"/>
      <c r="I272" s="28"/>
      <c r="J272" s="28"/>
      <c r="K272" s="83"/>
      <c r="L272" s="29"/>
    </row>
    <row r="273" spans="2:12" ht="12" customHeight="1">
      <c r="B273" s="26"/>
      <c r="C273" s="26"/>
      <c r="D273" s="79"/>
      <c r="E273" s="28"/>
      <c r="F273" s="26"/>
      <c r="G273" s="26"/>
      <c r="H273" s="58"/>
      <c r="I273" s="28"/>
      <c r="J273" s="28"/>
      <c r="K273" s="83"/>
      <c r="L273" s="29"/>
    </row>
    <row r="274" spans="2:12" ht="12" customHeight="1">
      <c r="B274" s="26"/>
      <c r="C274" s="26"/>
      <c r="D274" s="79"/>
      <c r="E274" s="28"/>
      <c r="F274" s="26"/>
      <c r="G274" s="26"/>
      <c r="H274" s="58"/>
      <c r="I274" s="28"/>
      <c r="J274" s="28"/>
      <c r="K274" s="83"/>
      <c r="L274" s="29"/>
    </row>
    <row r="275" spans="2:12" ht="12" customHeight="1">
      <c r="B275" s="26"/>
      <c r="C275" s="26"/>
      <c r="D275" s="79"/>
      <c r="E275" s="28"/>
      <c r="F275" s="26"/>
      <c r="G275" s="26"/>
      <c r="H275" s="58"/>
      <c r="I275" s="28"/>
      <c r="J275" s="28"/>
      <c r="K275" s="83"/>
      <c r="L275" s="29"/>
    </row>
    <row r="276" spans="2:12" ht="12" customHeight="1">
      <c r="B276" s="26"/>
      <c r="C276" s="26"/>
      <c r="D276" s="79"/>
      <c r="E276" s="28"/>
      <c r="F276" s="26"/>
      <c r="G276" s="26"/>
      <c r="H276" s="58"/>
      <c r="I276" s="28"/>
      <c r="J276" s="28"/>
      <c r="K276" s="83"/>
      <c r="L276" s="29"/>
    </row>
    <row r="277" spans="2:12" ht="12" customHeight="1">
      <c r="B277" s="26"/>
      <c r="C277" s="26"/>
      <c r="D277" s="79"/>
      <c r="E277" s="28"/>
      <c r="F277" s="26"/>
      <c r="G277" s="26"/>
      <c r="H277" s="58"/>
      <c r="I277" s="28"/>
      <c r="J277" s="28"/>
      <c r="K277" s="83"/>
      <c r="L277" s="29"/>
    </row>
    <row r="278" spans="2:12" ht="12" customHeight="1">
      <c r="B278" s="26"/>
      <c r="C278" s="26"/>
      <c r="D278" s="79"/>
      <c r="E278" s="28"/>
      <c r="F278" s="26"/>
      <c r="G278" s="26"/>
      <c r="H278" s="58"/>
      <c r="I278" s="28"/>
      <c r="J278" s="28"/>
      <c r="K278" s="83"/>
      <c r="L278" s="29"/>
    </row>
    <row r="279" spans="2:12" ht="12" customHeight="1">
      <c r="B279" s="26"/>
      <c r="C279" s="26"/>
      <c r="D279" s="79"/>
      <c r="E279" s="28"/>
      <c r="F279" s="26"/>
      <c r="G279" s="26"/>
      <c r="H279" s="58"/>
      <c r="I279" s="28"/>
      <c r="J279" s="28"/>
      <c r="K279" s="83"/>
      <c r="L279" s="29"/>
    </row>
    <row r="280" spans="2:12" ht="12" customHeight="1">
      <c r="B280" s="26"/>
      <c r="C280" s="26"/>
      <c r="D280" s="79"/>
      <c r="E280" s="28"/>
      <c r="F280" s="26"/>
      <c r="G280" s="26"/>
      <c r="H280" s="58"/>
      <c r="I280" s="28"/>
      <c r="J280" s="28"/>
      <c r="K280" s="83"/>
      <c r="L280" s="29"/>
    </row>
    <row r="281" spans="2:12" ht="12" customHeight="1">
      <c r="B281" s="26"/>
      <c r="C281" s="26"/>
      <c r="D281" s="79"/>
      <c r="E281" s="28"/>
      <c r="F281" s="26"/>
      <c r="G281" s="26"/>
      <c r="H281" s="58"/>
      <c r="I281" s="28"/>
      <c r="J281" s="28"/>
      <c r="K281" s="83"/>
      <c r="L281" s="29"/>
    </row>
    <row r="282" spans="2:12" ht="12" customHeight="1">
      <c r="B282" s="26"/>
      <c r="C282" s="26"/>
      <c r="D282" s="79"/>
      <c r="E282" s="28"/>
      <c r="F282" s="26"/>
      <c r="G282" s="26"/>
      <c r="H282" s="58"/>
      <c r="I282" s="28"/>
      <c r="J282" s="28"/>
      <c r="K282" s="83"/>
      <c r="L282" s="29"/>
    </row>
    <row r="283" spans="2:12" ht="12" customHeight="1">
      <c r="B283" s="26"/>
      <c r="C283" s="26"/>
      <c r="D283" s="79"/>
      <c r="E283" s="28"/>
      <c r="F283" s="26"/>
      <c r="G283" s="26"/>
      <c r="H283" s="58"/>
      <c r="I283" s="28"/>
      <c r="J283" s="28"/>
      <c r="K283" s="83"/>
      <c r="L283" s="29"/>
    </row>
    <row r="284" spans="2:12" ht="12" customHeight="1">
      <c r="B284" s="26"/>
      <c r="C284" s="26"/>
      <c r="D284" s="79"/>
      <c r="E284" s="28"/>
      <c r="F284" s="26"/>
      <c r="G284" s="26"/>
      <c r="H284" s="58"/>
      <c r="I284" s="28"/>
      <c r="J284" s="28"/>
      <c r="K284" s="83"/>
      <c r="L284" s="29"/>
    </row>
    <row r="285" spans="2:12" ht="12" customHeight="1">
      <c r="B285" s="26"/>
      <c r="C285" s="26"/>
      <c r="D285" s="79"/>
      <c r="E285" s="28"/>
      <c r="F285" s="26"/>
      <c r="G285" s="26"/>
      <c r="H285" s="58"/>
      <c r="I285" s="28"/>
      <c r="J285" s="28"/>
      <c r="K285" s="83"/>
      <c r="L285" s="29"/>
    </row>
    <row r="286" spans="2:12" ht="12" customHeight="1">
      <c r="B286" s="26"/>
      <c r="C286" s="26"/>
      <c r="D286" s="79"/>
      <c r="E286" s="28"/>
      <c r="F286" s="26"/>
      <c r="G286" s="26"/>
      <c r="H286" s="58"/>
      <c r="I286" s="28"/>
      <c r="J286" s="28"/>
      <c r="K286" s="83"/>
      <c r="L286" s="29"/>
    </row>
    <row r="287" spans="2:12" ht="12" customHeight="1">
      <c r="B287" s="26"/>
      <c r="C287" s="26"/>
      <c r="D287" s="79"/>
      <c r="E287" s="28"/>
      <c r="F287" s="26"/>
      <c r="G287" s="26"/>
      <c r="H287" s="58"/>
      <c r="I287" s="28"/>
      <c r="J287" s="28"/>
      <c r="K287" s="83"/>
      <c r="L287" s="29"/>
    </row>
    <row r="288" spans="2:12" ht="12" customHeight="1">
      <c r="B288" s="26"/>
      <c r="C288" s="26"/>
      <c r="D288" s="79"/>
      <c r="E288" s="28"/>
      <c r="F288" s="26"/>
      <c r="G288" s="26"/>
      <c r="H288" s="58"/>
      <c r="I288" s="28"/>
      <c r="J288" s="28"/>
      <c r="K288" s="83"/>
      <c r="L288" s="29"/>
    </row>
    <row r="289" spans="2:12" ht="12" customHeight="1">
      <c r="B289" s="26"/>
      <c r="C289" s="26"/>
      <c r="D289" s="79"/>
      <c r="E289" s="28"/>
      <c r="F289" s="26"/>
      <c r="G289" s="26"/>
      <c r="H289" s="58"/>
      <c r="I289" s="28"/>
      <c r="J289" s="28"/>
      <c r="K289" s="83"/>
      <c r="L289" s="29"/>
    </row>
    <row r="290" spans="2:12" ht="12" customHeight="1">
      <c r="B290" s="26"/>
      <c r="C290" s="26"/>
      <c r="D290" s="79"/>
      <c r="E290" s="28"/>
      <c r="F290" s="26"/>
      <c r="G290" s="26"/>
      <c r="H290" s="58"/>
      <c r="I290" s="28"/>
      <c r="J290" s="28"/>
      <c r="K290" s="83"/>
      <c r="L290" s="29"/>
    </row>
    <row r="291" spans="2:12" ht="12" customHeight="1">
      <c r="B291" s="26"/>
      <c r="C291" s="26"/>
      <c r="D291" s="79"/>
      <c r="E291" s="28"/>
      <c r="F291" s="26"/>
      <c r="G291" s="26"/>
      <c r="H291" s="58"/>
      <c r="I291" s="28"/>
      <c r="J291" s="28"/>
      <c r="K291" s="83"/>
      <c r="L291" s="29"/>
    </row>
    <row r="292" spans="2:12" ht="12" customHeight="1">
      <c r="B292" s="26"/>
      <c r="C292" s="26"/>
      <c r="D292" s="79"/>
      <c r="E292" s="28"/>
      <c r="F292" s="26"/>
      <c r="G292" s="26"/>
      <c r="H292" s="58"/>
      <c r="I292" s="28"/>
      <c r="J292" s="28"/>
      <c r="K292" s="83"/>
      <c r="L292" s="29"/>
    </row>
    <row r="293" spans="2:12" ht="12" customHeight="1">
      <c r="B293" s="26"/>
      <c r="C293" s="26"/>
      <c r="D293" s="79"/>
      <c r="E293" s="28"/>
      <c r="F293" s="26"/>
      <c r="G293" s="26"/>
      <c r="H293" s="58"/>
      <c r="I293" s="28"/>
      <c r="J293" s="28"/>
      <c r="K293" s="83"/>
      <c r="L293" s="29"/>
    </row>
    <row r="294" spans="2:12" ht="12" customHeight="1">
      <c r="B294" s="26"/>
      <c r="C294" s="26"/>
      <c r="D294" s="79"/>
      <c r="E294" s="28"/>
      <c r="F294" s="26"/>
      <c r="G294" s="26"/>
      <c r="H294" s="58"/>
      <c r="I294" s="28"/>
      <c r="J294" s="28"/>
      <c r="K294" s="83"/>
      <c r="L294" s="29"/>
    </row>
    <row r="295" spans="2:12" ht="12" customHeight="1">
      <c r="B295" s="26"/>
      <c r="C295" s="26"/>
      <c r="D295" s="79"/>
      <c r="E295" s="28"/>
      <c r="F295" s="26"/>
      <c r="G295" s="26"/>
      <c r="H295" s="58"/>
      <c r="I295" s="28"/>
      <c r="J295" s="28"/>
      <c r="K295" s="83"/>
      <c r="L295" s="29"/>
    </row>
    <row r="296" spans="2:12" ht="12" customHeight="1">
      <c r="B296" s="26"/>
      <c r="C296" s="26"/>
      <c r="D296" s="79"/>
      <c r="E296" s="28"/>
      <c r="F296" s="26"/>
      <c r="G296" s="26"/>
      <c r="H296" s="58"/>
      <c r="I296" s="28"/>
      <c r="J296" s="28"/>
      <c r="K296" s="83"/>
      <c r="L296" s="29"/>
    </row>
    <row r="297" spans="2:12" ht="12" customHeight="1">
      <c r="B297" s="26"/>
      <c r="C297" s="26"/>
      <c r="D297" s="79"/>
      <c r="E297" s="28"/>
      <c r="F297" s="26"/>
      <c r="G297" s="26"/>
      <c r="H297" s="58"/>
      <c r="I297" s="28"/>
      <c r="J297" s="28"/>
      <c r="K297" s="83"/>
      <c r="L297" s="29"/>
    </row>
    <row r="298" spans="2:12" ht="12" customHeight="1">
      <c r="B298" s="26"/>
      <c r="C298" s="26"/>
      <c r="D298" s="79"/>
      <c r="E298" s="28"/>
      <c r="F298" s="26"/>
      <c r="G298" s="26"/>
      <c r="H298" s="58"/>
      <c r="I298" s="28"/>
      <c r="J298" s="28"/>
      <c r="K298" s="83"/>
      <c r="L298" s="29"/>
    </row>
    <row r="299" spans="2:12" ht="12" customHeight="1">
      <c r="B299" s="26"/>
      <c r="C299" s="26"/>
      <c r="D299" s="79"/>
      <c r="E299" s="28"/>
      <c r="F299" s="26"/>
      <c r="G299" s="26"/>
      <c r="H299" s="58"/>
      <c r="I299" s="28"/>
      <c r="J299" s="28"/>
      <c r="K299" s="83"/>
      <c r="L299" s="29"/>
    </row>
    <row r="300" spans="2:12" ht="12" customHeight="1">
      <c r="B300" s="26"/>
      <c r="C300" s="26"/>
      <c r="D300" s="79"/>
      <c r="E300" s="28"/>
      <c r="F300" s="26"/>
      <c r="G300" s="26"/>
      <c r="H300" s="58"/>
      <c r="I300" s="28"/>
      <c r="J300" s="28"/>
      <c r="K300" s="83"/>
      <c r="L300" s="29"/>
    </row>
    <row r="301" spans="2:12" ht="12" customHeight="1">
      <c r="B301" s="26"/>
      <c r="C301" s="26"/>
      <c r="D301" s="79"/>
      <c r="E301" s="28"/>
      <c r="F301" s="26"/>
      <c r="G301" s="26"/>
      <c r="H301" s="58"/>
      <c r="I301" s="28"/>
      <c r="J301" s="28"/>
      <c r="K301" s="83"/>
      <c r="L301" s="29"/>
    </row>
    <row r="302" spans="2:12" ht="12" customHeight="1">
      <c r="B302" s="26"/>
      <c r="C302" s="26"/>
      <c r="D302" s="79"/>
      <c r="E302" s="28"/>
      <c r="F302" s="26"/>
      <c r="G302" s="26"/>
      <c r="H302" s="58"/>
      <c r="I302" s="28"/>
      <c r="J302" s="28"/>
      <c r="K302" s="83"/>
      <c r="L302" s="29"/>
    </row>
    <row r="303" spans="2:12" ht="12" customHeight="1">
      <c r="B303" s="26"/>
      <c r="C303" s="26"/>
      <c r="D303" s="79"/>
      <c r="E303" s="28"/>
      <c r="F303" s="26"/>
      <c r="G303" s="26"/>
      <c r="H303" s="58"/>
      <c r="I303" s="28"/>
      <c r="J303" s="28"/>
      <c r="K303" s="83"/>
      <c r="L303" s="29"/>
    </row>
    <row r="304" spans="2:12" ht="12" customHeight="1">
      <c r="B304" s="26"/>
      <c r="C304" s="26"/>
      <c r="D304" s="79"/>
      <c r="E304" s="28"/>
      <c r="F304" s="26"/>
      <c r="G304" s="26"/>
      <c r="H304" s="58"/>
      <c r="I304" s="28"/>
      <c r="J304" s="28"/>
      <c r="K304" s="83"/>
      <c r="L304" s="29"/>
    </row>
    <row r="305" spans="2:12" ht="12" customHeight="1">
      <c r="B305" s="26"/>
      <c r="C305" s="26"/>
      <c r="D305" s="79"/>
      <c r="E305" s="28"/>
      <c r="F305" s="26"/>
      <c r="G305" s="26"/>
      <c r="H305" s="58"/>
      <c r="I305" s="28"/>
      <c r="J305" s="28"/>
      <c r="K305" s="83"/>
      <c r="L305" s="29"/>
    </row>
    <row r="306" spans="2:12" ht="12" customHeight="1">
      <c r="B306" s="26"/>
      <c r="C306" s="26"/>
      <c r="D306" s="79"/>
      <c r="E306" s="28"/>
      <c r="F306" s="26"/>
      <c r="G306" s="26"/>
      <c r="H306" s="58"/>
      <c r="I306" s="28"/>
      <c r="J306" s="28"/>
      <c r="K306" s="83"/>
      <c r="L306" s="29"/>
    </row>
    <row r="307" spans="2:12" ht="12" customHeight="1">
      <c r="B307" s="59"/>
      <c r="C307" s="59"/>
      <c r="D307" s="72"/>
      <c r="E307" s="61"/>
      <c r="F307" s="59"/>
      <c r="G307" s="59"/>
      <c r="H307" s="62"/>
      <c r="I307" s="61"/>
      <c r="J307" s="61"/>
      <c r="K307" s="84"/>
      <c r="L307" s="63"/>
    </row>
    <row r="308" spans="2:12" ht="12" customHeight="1">
      <c r="B308" s="59"/>
      <c r="C308" s="59"/>
      <c r="D308" s="72"/>
      <c r="E308" s="61"/>
      <c r="F308" s="59"/>
      <c r="G308" s="59"/>
      <c r="H308" s="62"/>
      <c r="I308" s="61"/>
      <c r="J308" s="61"/>
      <c r="K308" s="84"/>
      <c r="L308" s="63"/>
    </row>
    <row r="309" spans="2:12" ht="12" customHeight="1">
      <c r="B309" s="59"/>
      <c r="C309" s="59"/>
      <c r="D309" s="72"/>
      <c r="E309" s="61"/>
      <c r="F309" s="59"/>
      <c r="G309" s="59"/>
      <c r="H309" s="62"/>
      <c r="I309" s="61"/>
      <c r="J309" s="61"/>
      <c r="K309" s="84"/>
      <c r="L309" s="63"/>
    </row>
    <row r="310" spans="2:12" ht="12" customHeight="1">
      <c r="B310" s="59"/>
      <c r="C310" s="59"/>
      <c r="D310" s="72"/>
      <c r="E310" s="61"/>
      <c r="F310" s="59"/>
      <c r="G310" s="59"/>
      <c r="H310" s="62"/>
      <c r="I310" s="61"/>
      <c r="J310" s="61"/>
      <c r="K310" s="84"/>
      <c r="L310" s="63"/>
    </row>
    <row r="311" spans="2:12" ht="12" customHeight="1">
      <c r="B311" s="59"/>
      <c r="C311" s="59"/>
      <c r="D311" s="72"/>
      <c r="E311" s="61"/>
      <c r="F311" s="59"/>
      <c r="G311" s="59"/>
      <c r="H311" s="62"/>
      <c r="I311" s="61"/>
      <c r="J311" s="61"/>
      <c r="K311" s="84"/>
      <c r="L311" s="63"/>
    </row>
    <row r="312" spans="2:12" ht="12" customHeight="1">
      <c r="B312" s="59"/>
      <c r="C312" s="59"/>
      <c r="D312" s="72"/>
      <c r="E312" s="61"/>
      <c r="F312" s="59"/>
      <c r="G312" s="59"/>
      <c r="H312" s="62"/>
      <c r="I312" s="61"/>
      <c r="J312" s="61"/>
      <c r="K312" s="84"/>
      <c r="L312" s="63"/>
    </row>
    <row r="313" spans="2:12" ht="12" customHeight="1">
      <c r="B313" s="26"/>
      <c r="C313" s="26"/>
      <c r="D313" s="27"/>
      <c r="E313" s="28"/>
      <c r="F313" s="26"/>
      <c r="G313" s="26"/>
      <c r="H313" s="58"/>
      <c r="I313" s="28"/>
      <c r="J313" s="28"/>
      <c r="K313" s="83"/>
      <c r="L313" s="29"/>
    </row>
    <row r="314" spans="2:12" ht="12" customHeight="1">
      <c r="B314" s="59"/>
      <c r="C314" s="59"/>
      <c r="D314" s="60"/>
      <c r="E314" s="61"/>
      <c r="F314" s="59"/>
      <c r="G314" s="59"/>
      <c r="H314" s="62"/>
      <c r="I314" s="61"/>
      <c r="J314" s="61"/>
      <c r="K314" s="84"/>
      <c r="L314" s="63"/>
    </row>
    <row r="315" spans="2:12" ht="12" customHeight="1">
      <c r="B315" s="59"/>
      <c r="C315" s="59"/>
      <c r="D315" s="60"/>
      <c r="E315" s="61"/>
      <c r="F315" s="59"/>
      <c r="G315" s="59"/>
      <c r="H315" s="62"/>
      <c r="I315" s="61"/>
      <c r="J315" s="61"/>
      <c r="K315" s="84"/>
      <c r="L315" s="63"/>
    </row>
    <row r="316" spans="2:12" ht="12" customHeight="1">
      <c r="B316" s="59"/>
      <c r="C316" s="59"/>
      <c r="D316" s="60"/>
      <c r="E316" s="61"/>
      <c r="F316" s="59"/>
      <c r="G316" s="59"/>
      <c r="H316" s="62"/>
      <c r="I316" s="61"/>
      <c r="J316" s="61"/>
      <c r="K316" s="84"/>
      <c r="L316" s="63"/>
    </row>
    <row r="317" spans="2:12" ht="12" customHeight="1">
      <c r="B317" s="59"/>
      <c r="C317" s="59"/>
      <c r="D317" s="60"/>
      <c r="E317" s="61"/>
      <c r="F317" s="59"/>
      <c r="G317" s="59"/>
      <c r="H317" s="62"/>
      <c r="I317" s="61"/>
      <c r="J317" s="61"/>
      <c r="K317" s="84"/>
      <c r="L317" s="63"/>
    </row>
    <row r="318" spans="2:12" ht="12" customHeight="1">
      <c r="B318" s="59"/>
      <c r="C318" s="59"/>
      <c r="D318" s="60"/>
      <c r="E318" s="61"/>
      <c r="F318" s="59"/>
      <c r="G318" s="59"/>
      <c r="H318" s="62"/>
      <c r="I318" s="61"/>
      <c r="J318" s="61"/>
      <c r="K318" s="84"/>
      <c r="L318" s="63"/>
    </row>
    <row r="319" spans="2:12" ht="12" customHeight="1">
      <c r="B319" s="59"/>
      <c r="C319" s="59"/>
      <c r="D319" s="60"/>
      <c r="E319" s="61"/>
      <c r="F319" s="59"/>
      <c r="G319" s="59"/>
      <c r="H319" s="62"/>
      <c r="I319" s="61"/>
      <c r="J319" s="61"/>
      <c r="K319" s="84"/>
      <c r="L319" s="63"/>
    </row>
    <row r="320" spans="2:12" ht="12" customHeight="1">
      <c r="B320" s="59"/>
      <c r="C320" s="59"/>
      <c r="D320" s="60"/>
      <c r="E320" s="61"/>
      <c r="F320" s="59"/>
      <c r="G320" s="59"/>
      <c r="H320" s="62"/>
      <c r="I320" s="61"/>
      <c r="J320" s="61"/>
      <c r="K320" s="84"/>
      <c r="L320" s="63"/>
    </row>
    <row r="321" spans="2:12" ht="12" customHeight="1">
      <c r="B321" s="59"/>
      <c r="C321" s="59"/>
      <c r="D321" s="60"/>
      <c r="E321" s="61"/>
      <c r="F321" s="59"/>
      <c r="G321" s="59"/>
      <c r="H321" s="62"/>
      <c r="I321" s="61"/>
      <c r="J321" s="61"/>
      <c r="K321" s="84"/>
      <c r="L321" s="63"/>
    </row>
    <row r="322" spans="2:12" ht="12" customHeight="1">
      <c r="B322" s="26"/>
      <c r="C322" s="26"/>
      <c r="D322" s="27"/>
      <c r="E322" s="28"/>
      <c r="F322" s="26"/>
      <c r="G322" s="26"/>
      <c r="H322" s="58"/>
      <c r="I322" s="28"/>
      <c r="J322" s="28"/>
      <c r="K322" s="83"/>
      <c r="L322" s="29"/>
    </row>
    <row r="323" spans="2:12" ht="12" customHeight="1">
      <c r="B323" s="26"/>
      <c r="C323" s="26"/>
      <c r="D323" s="27"/>
      <c r="E323" s="28"/>
      <c r="F323" s="26"/>
      <c r="G323" s="26"/>
      <c r="H323" s="58"/>
      <c r="I323" s="28"/>
      <c r="J323" s="28"/>
      <c r="K323" s="83"/>
      <c r="L323" s="29"/>
    </row>
    <row r="324" spans="2:12" ht="12" customHeight="1">
      <c r="B324" s="26"/>
      <c r="C324" s="26"/>
      <c r="D324" s="27"/>
      <c r="E324" s="28"/>
      <c r="F324" s="26"/>
      <c r="G324" s="26"/>
      <c r="H324" s="58"/>
      <c r="I324" s="28"/>
      <c r="J324" s="28"/>
      <c r="K324" s="83"/>
      <c r="L324" s="29"/>
    </row>
    <row r="325" spans="2:12" ht="12" customHeight="1">
      <c r="B325" s="26"/>
      <c r="C325" s="26"/>
      <c r="D325" s="27"/>
      <c r="E325" s="28"/>
      <c r="F325" s="26"/>
      <c r="G325" s="26"/>
      <c r="H325" s="58"/>
      <c r="I325" s="28"/>
      <c r="J325" s="28"/>
      <c r="K325" s="83"/>
      <c r="L325" s="29"/>
    </row>
    <row r="326" spans="2:12" ht="12" customHeight="1">
      <c r="B326" s="26"/>
      <c r="C326" s="26"/>
      <c r="D326" s="27"/>
      <c r="E326" s="28"/>
      <c r="F326" s="26"/>
      <c r="G326" s="26"/>
      <c r="H326" s="58"/>
      <c r="I326" s="28"/>
      <c r="J326" s="28"/>
      <c r="K326" s="83"/>
      <c r="L326" s="29"/>
    </row>
    <row r="327" spans="2:12" ht="12" customHeight="1">
      <c r="B327" s="59"/>
      <c r="C327" s="59"/>
      <c r="D327" s="60"/>
      <c r="E327" s="61"/>
      <c r="F327" s="59"/>
      <c r="G327" s="59"/>
      <c r="H327" s="62"/>
      <c r="I327" s="61"/>
      <c r="J327" s="61"/>
      <c r="K327" s="84"/>
      <c r="L327" s="63"/>
    </row>
    <row r="328" spans="2:12" ht="12" customHeight="1">
      <c r="B328" s="59"/>
      <c r="C328" s="59"/>
      <c r="D328" s="60"/>
      <c r="E328" s="61"/>
      <c r="F328" s="59"/>
      <c r="G328" s="59"/>
      <c r="H328" s="62"/>
      <c r="I328" s="61"/>
      <c r="J328" s="61"/>
      <c r="K328" s="84"/>
      <c r="L328" s="63"/>
    </row>
    <row r="329" spans="2:12" ht="12" customHeight="1">
      <c r="B329" s="59"/>
      <c r="C329" s="59"/>
      <c r="D329" s="60"/>
      <c r="E329" s="61"/>
      <c r="F329" s="26"/>
      <c r="G329" s="59"/>
      <c r="H329" s="62"/>
      <c r="I329" s="61"/>
      <c r="J329" s="61"/>
      <c r="K329" s="84"/>
      <c r="L329" s="63"/>
    </row>
    <row r="330" spans="2:12" ht="12" customHeight="1">
      <c r="B330" s="59"/>
      <c r="C330" s="59"/>
      <c r="D330" s="60"/>
      <c r="E330" s="61"/>
      <c r="F330" s="59"/>
      <c r="G330" s="59"/>
      <c r="H330" s="62"/>
      <c r="I330" s="61"/>
      <c r="J330" s="61"/>
      <c r="K330" s="84"/>
      <c r="L330" s="63"/>
    </row>
    <row r="331" spans="2:12" ht="12" customHeight="1">
      <c r="B331" s="59"/>
      <c r="C331" s="59"/>
      <c r="D331" s="60"/>
      <c r="E331" s="61"/>
      <c r="F331" s="59"/>
      <c r="G331" s="59"/>
      <c r="H331" s="62"/>
      <c r="I331" s="61"/>
      <c r="J331" s="61"/>
      <c r="K331" s="84"/>
      <c r="L331" s="63"/>
    </row>
    <row r="332" spans="2:12" ht="12" customHeight="1">
      <c r="B332" s="59"/>
      <c r="C332" s="59"/>
      <c r="D332" s="60"/>
      <c r="E332" s="61"/>
      <c r="F332" s="59"/>
      <c r="G332" s="59"/>
      <c r="H332" s="62"/>
      <c r="I332" s="61"/>
      <c r="J332" s="61"/>
      <c r="K332" s="84"/>
      <c r="L332" s="63"/>
    </row>
    <row r="333" spans="2:12" ht="12" customHeight="1">
      <c r="B333" s="59"/>
      <c r="C333" s="59"/>
      <c r="D333" s="60"/>
      <c r="E333" s="61"/>
      <c r="F333" s="59"/>
      <c r="G333" s="59"/>
      <c r="H333" s="62"/>
      <c r="I333" s="61"/>
      <c r="J333" s="61"/>
      <c r="K333" s="84"/>
      <c r="L333" s="63"/>
    </row>
    <row r="334" spans="2:12" ht="12" customHeight="1">
      <c r="B334" s="59"/>
      <c r="C334" s="59"/>
      <c r="D334" s="60"/>
      <c r="E334" s="61"/>
      <c r="F334" s="59"/>
      <c r="G334" s="59"/>
      <c r="H334" s="62"/>
      <c r="I334" s="61"/>
      <c r="J334" s="61"/>
      <c r="K334" s="84"/>
      <c r="L334" s="63"/>
    </row>
    <row r="335" spans="2:12" ht="12" customHeight="1">
      <c r="B335" s="59"/>
      <c r="C335" s="59"/>
      <c r="D335" s="60"/>
      <c r="E335" s="61"/>
      <c r="F335" s="59"/>
      <c r="G335" s="59"/>
      <c r="H335" s="62"/>
      <c r="I335" s="61"/>
      <c r="J335" s="61"/>
      <c r="K335" s="84"/>
      <c r="L335" s="63"/>
    </row>
    <row r="336" spans="2:12" ht="12" customHeight="1">
      <c r="B336" s="59"/>
      <c r="C336" s="59"/>
      <c r="D336" s="60"/>
      <c r="E336" s="61"/>
      <c r="F336" s="59"/>
      <c r="G336" s="59"/>
      <c r="H336" s="62"/>
      <c r="I336" s="61"/>
      <c r="J336" s="61"/>
      <c r="K336" s="84"/>
      <c r="L336" s="63"/>
    </row>
    <row r="337" spans="2:12" ht="12" customHeight="1">
      <c r="B337" s="59"/>
      <c r="C337" s="59"/>
      <c r="D337" s="60"/>
      <c r="E337" s="61"/>
      <c r="F337" s="59"/>
      <c r="G337" s="59"/>
      <c r="H337" s="62"/>
      <c r="I337" s="61"/>
      <c r="J337" s="61"/>
      <c r="K337" s="84"/>
      <c r="L337" s="63"/>
    </row>
    <row r="338" spans="2:12" ht="12" customHeight="1">
      <c r="B338" s="59"/>
      <c r="C338" s="59"/>
      <c r="D338" s="60"/>
      <c r="E338" s="61"/>
      <c r="F338" s="59"/>
      <c r="G338" s="59"/>
      <c r="H338" s="62"/>
      <c r="I338" s="61"/>
      <c r="J338" s="61"/>
      <c r="K338" s="84"/>
      <c r="L338" s="63"/>
    </row>
    <row r="339" spans="2:12" ht="12" customHeight="1">
      <c r="B339" s="59"/>
      <c r="C339" s="59"/>
      <c r="D339" s="60"/>
      <c r="E339" s="61"/>
      <c r="F339" s="59"/>
      <c r="G339" s="59"/>
      <c r="H339" s="62"/>
      <c r="I339" s="61"/>
      <c r="J339" s="61"/>
      <c r="K339" s="84"/>
      <c r="L339" s="63"/>
    </row>
    <row r="340" spans="2:12" ht="12" customHeight="1">
      <c r="B340" s="59"/>
      <c r="C340" s="59"/>
      <c r="D340" s="60"/>
      <c r="E340" s="61"/>
      <c r="F340" s="59"/>
      <c r="G340" s="59"/>
      <c r="H340" s="62"/>
      <c r="I340" s="61"/>
      <c r="J340" s="61"/>
      <c r="K340" s="84"/>
      <c r="L340" s="63"/>
    </row>
    <row r="341" spans="2:12" ht="12" customHeight="1">
      <c r="B341" s="59"/>
      <c r="C341" s="59"/>
      <c r="D341" s="60"/>
      <c r="E341" s="61"/>
      <c r="F341" s="59"/>
      <c r="G341" s="59"/>
      <c r="H341" s="62"/>
      <c r="I341" s="61"/>
      <c r="J341" s="61"/>
      <c r="K341" s="84"/>
      <c r="L341" s="63"/>
    </row>
    <row r="342" spans="2:12" ht="12" customHeight="1">
      <c r="B342" s="59"/>
      <c r="C342" s="59"/>
      <c r="D342" s="60"/>
      <c r="E342" s="61"/>
      <c r="F342" s="59"/>
      <c r="G342" s="59"/>
      <c r="H342" s="62"/>
      <c r="I342" s="61"/>
      <c r="J342" s="61"/>
      <c r="K342" s="84"/>
      <c r="L342" s="63"/>
    </row>
    <row r="343" spans="2:12" ht="12" customHeight="1">
      <c r="B343" s="59"/>
      <c r="C343" s="59"/>
      <c r="D343" s="60"/>
      <c r="E343" s="61"/>
      <c r="F343" s="59"/>
      <c r="G343" s="59"/>
      <c r="H343" s="62"/>
      <c r="I343" s="61"/>
      <c r="J343" s="61"/>
      <c r="K343" s="84"/>
      <c r="L343" s="63"/>
    </row>
    <row r="344" spans="2:12" ht="12" customHeight="1">
      <c r="B344" s="59"/>
      <c r="C344" s="59"/>
      <c r="D344" s="60"/>
      <c r="E344" s="61"/>
      <c r="F344" s="59"/>
      <c r="G344" s="59"/>
      <c r="H344" s="62"/>
      <c r="I344" s="61"/>
      <c r="J344" s="61"/>
      <c r="K344" s="84"/>
      <c r="L344" s="63"/>
    </row>
    <row r="345" spans="2:12" ht="12" customHeight="1">
      <c r="B345" s="59"/>
      <c r="C345" s="59"/>
      <c r="D345" s="60"/>
      <c r="E345" s="61"/>
      <c r="F345" s="59"/>
      <c r="G345" s="59"/>
      <c r="H345" s="62"/>
      <c r="I345" s="61"/>
      <c r="J345" s="61"/>
      <c r="K345" s="84"/>
      <c r="L345" s="63"/>
    </row>
    <row r="346" spans="2:12" ht="12" customHeight="1">
      <c r="B346" s="59"/>
      <c r="C346" s="59"/>
      <c r="D346" s="60"/>
      <c r="E346" s="61"/>
      <c r="F346" s="59"/>
      <c r="G346" s="59"/>
      <c r="H346" s="62"/>
      <c r="I346" s="61"/>
      <c r="J346" s="61"/>
      <c r="K346" s="84"/>
      <c r="L346" s="63"/>
    </row>
    <row r="347" spans="2:12" ht="12" customHeight="1">
      <c r="B347" s="59"/>
      <c r="C347" s="59"/>
      <c r="D347" s="60"/>
      <c r="E347" s="61"/>
      <c r="F347" s="59"/>
      <c r="G347" s="59"/>
      <c r="H347" s="62"/>
      <c r="I347" s="61"/>
      <c r="J347" s="61"/>
      <c r="K347" s="84"/>
      <c r="L347" s="63"/>
    </row>
    <row r="348" spans="2:12" ht="12" customHeight="1">
      <c r="B348" s="59"/>
      <c r="C348" s="59"/>
      <c r="D348" s="60"/>
      <c r="E348" s="61"/>
      <c r="F348" s="59"/>
      <c r="G348" s="59"/>
      <c r="H348" s="62"/>
      <c r="I348" s="61"/>
      <c r="J348" s="61"/>
      <c r="K348" s="84"/>
      <c r="L348" s="63"/>
    </row>
    <row r="349" spans="2:12" ht="12" customHeight="1">
      <c r="B349" s="59"/>
      <c r="C349" s="59"/>
      <c r="D349" s="60"/>
      <c r="E349" s="61"/>
      <c r="F349" s="59"/>
      <c r="G349" s="59"/>
      <c r="H349" s="62"/>
      <c r="I349" s="61"/>
      <c r="J349" s="61"/>
      <c r="K349" s="84"/>
      <c r="L349" s="63"/>
    </row>
    <row r="350" spans="2:12" ht="12" customHeight="1">
      <c r="B350" s="26"/>
      <c r="C350" s="26"/>
      <c r="D350" s="27"/>
      <c r="E350" s="28"/>
      <c r="F350" s="26"/>
      <c r="G350" s="26"/>
      <c r="H350" s="58"/>
      <c r="I350" s="28"/>
      <c r="J350" s="28"/>
      <c r="K350" s="83"/>
      <c r="L350" s="29"/>
    </row>
    <row r="351" spans="2:12" ht="12" customHeight="1">
      <c r="B351" s="13"/>
      <c r="C351" s="13"/>
      <c r="D351" s="14"/>
      <c r="E351" s="15"/>
      <c r="F351" s="13"/>
      <c r="G351" s="13"/>
      <c r="H351" s="57"/>
      <c r="I351" s="15"/>
      <c r="J351" s="15"/>
      <c r="K351" s="85"/>
      <c r="L351" s="16"/>
    </row>
    <row r="352" spans="2:12" ht="12" customHeight="1">
      <c r="B352" s="13"/>
      <c r="C352" s="13"/>
      <c r="D352" s="14"/>
      <c r="E352" s="15"/>
      <c r="F352" s="13"/>
      <c r="G352" s="13"/>
      <c r="H352" s="57"/>
      <c r="I352" s="15"/>
      <c r="J352" s="15"/>
      <c r="K352" s="85"/>
      <c r="L352" s="16"/>
    </row>
    <row r="353" spans="2:12" ht="12" customHeight="1">
      <c r="B353" s="13"/>
      <c r="C353" s="13"/>
      <c r="D353" s="14"/>
      <c r="E353" s="15"/>
      <c r="F353" s="13"/>
      <c r="G353" s="13"/>
      <c r="H353" s="57"/>
      <c r="I353" s="15"/>
      <c r="J353" s="15"/>
      <c r="K353" s="85"/>
      <c r="L353" s="16"/>
    </row>
    <row r="354" spans="2:12" ht="12" customHeight="1">
      <c r="B354" s="13"/>
      <c r="C354" s="13"/>
      <c r="D354" s="14"/>
      <c r="E354" s="15"/>
      <c r="F354" s="13"/>
      <c r="G354" s="13"/>
      <c r="H354" s="57"/>
      <c r="I354" s="15"/>
      <c r="J354" s="15"/>
      <c r="K354" s="85"/>
      <c r="L354" s="16"/>
    </row>
    <row r="355" spans="2:12" ht="12" customHeight="1">
      <c r="B355" s="13"/>
      <c r="C355" s="13"/>
      <c r="D355" s="14"/>
      <c r="E355" s="15"/>
      <c r="F355" s="13"/>
      <c r="G355" s="13"/>
      <c r="H355" s="57"/>
      <c r="I355" s="15"/>
      <c r="J355" s="15"/>
      <c r="K355" s="85"/>
      <c r="L355" s="16"/>
    </row>
    <row r="356" spans="2:12">
      <c r="B356" s="13"/>
      <c r="C356" s="13"/>
      <c r="D356" s="14"/>
      <c r="E356" s="15"/>
      <c r="F356" s="13"/>
      <c r="G356" s="13"/>
      <c r="H356" s="57"/>
      <c r="I356" s="15"/>
      <c r="J356" s="15"/>
      <c r="K356" s="85"/>
      <c r="L356" s="16"/>
    </row>
    <row r="357" spans="2:12">
      <c r="B357" s="13"/>
      <c r="C357" s="13"/>
      <c r="D357" s="14"/>
      <c r="E357" s="15"/>
      <c r="F357" s="13"/>
      <c r="G357" s="13"/>
      <c r="H357" s="57"/>
      <c r="I357" s="15"/>
      <c r="J357" s="15"/>
      <c r="K357" s="85"/>
      <c r="L357" s="16"/>
    </row>
    <row r="358" spans="2:12">
      <c r="B358" s="13"/>
      <c r="C358" s="13"/>
      <c r="D358" s="14"/>
      <c r="E358" s="15"/>
      <c r="F358" s="13"/>
      <c r="G358" s="13"/>
      <c r="H358" s="57"/>
      <c r="I358" s="15"/>
      <c r="J358" s="15"/>
      <c r="K358" s="85"/>
      <c r="L358" s="16"/>
    </row>
    <row r="359" spans="2:12">
      <c r="B359" s="13"/>
      <c r="C359" s="13"/>
      <c r="D359" s="14"/>
      <c r="E359" s="15"/>
      <c r="F359" s="13"/>
      <c r="G359" s="13"/>
      <c r="H359" s="57"/>
      <c r="I359" s="15"/>
      <c r="J359" s="15"/>
      <c r="K359" s="85"/>
      <c r="L359" s="16"/>
    </row>
    <row r="360" spans="2:12">
      <c r="B360" s="13"/>
      <c r="C360" s="13"/>
      <c r="D360" s="14"/>
      <c r="E360" s="15"/>
      <c r="F360" s="13"/>
      <c r="G360" s="13"/>
      <c r="H360" s="57"/>
      <c r="I360" s="15"/>
      <c r="J360" s="15"/>
      <c r="K360" s="85"/>
      <c r="L360" s="16"/>
    </row>
    <row r="361" spans="2:12">
      <c r="B361" s="13"/>
      <c r="C361" s="13"/>
      <c r="D361" s="14"/>
      <c r="E361" s="15"/>
      <c r="F361" s="13"/>
      <c r="G361" s="13"/>
      <c r="H361" s="57"/>
      <c r="I361" s="15"/>
      <c r="J361" s="15"/>
      <c r="K361" s="85"/>
      <c r="L361" s="16"/>
    </row>
    <row r="362" spans="2:12">
      <c r="B362" s="13"/>
      <c r="C362" s="13"/>
      <c r="D362" s="14"/>
      <c r="E362" s="15"/>
      <c r="F362" s="13"/>
      <c r="G362" s="13"/>
      <c r="H362" s="57"/>
      <c r="I362" s="15"/>
      <c r="J362" s="15"/>
      <c r="K362" s="85"/>
      <c r="L362" s="16"/>
    </row>
    <row r="363" spans="2:12">
      <c r="B363" s="26"/>
      <c r="C363" s="26"/>
      <c r="D363" s="27"/>
      <c r="E363" s="28"/>
      <c r="F363" s="26"/>
      <c r="G363" s="26"/>
      <c r="H363" s="58"/>
      <c r="I363" s="28"/>
      <c r="J363" s="28"/>
      <c r="K363" s="83"/>
      <c r="L363" s="29"/>
    </row>
    <row r="364" spans="2:12">
      <c r="B364" s="26"/>
      <c r="C364" s="26"/>
      <c r="D364" s="27"/>
      <c r="E364" s="28"/>
      <c r="F364" s="26"/>
      <c r="G364" s="26"/>
      <c r="H364" s="58"/>
      <c r="I364" s="28"/>
      <c r="J364" s="28"/>
      <c r="K364" s="83"/>
      <c r="L364" s="29"/>
    </row>
    <row r="365" spans="2:12">
      <c r="B365" s="26"/>
      <c r="C365" s="26"/>
      <c r="D365" s="27"/>
      <c r="E365" s="28"/>
      <c r="F365" s="26"/>
      <c r="G365" s="26"/>
      <c r="H365" s="58"/>
      <c r="I365" s="28"/>
      <c r="J365" s="28"/>
      <c r="K365" s="83"/>
      <c r="L365" s="29"/>
    </row>
    <row r="366" spans="2:12">
      <c r="B366" s="26"/>
      <c r="C366" s="26"/>
      <c r="D366" s="27"/>
      <c r="E366" s="28"/>
      <c r="F366" s="26"/>
      <c r="G366" s="26"/>
      <c r="H366" s="58"/>
      <c r="I366" s="28"/>
      <c r="J366" s="28"/>
      <c r="K366" s="83"/>
      <c r="L366" s="29"/>
    </row>
    <row r="367" spans="2:12">
      <c r="B367" s="26"/>
      <c r="C367" s="26"/>
      <c r="D367" s="27"/>
      <c r="E367" s="28"/>
      <c r="F367" s="26"/>
      <c r="G367" s="26"/>
      <c r="H367" s="58"/>
      <c r="I367" s="28"/>
      <c r="J367" s="28"/>
      <c r="K367" s="83"/>
      <c r="L367" s="29"/>
    </row>
    <row r="368" spans="2:12">
      <c r="B368" s="13"/>
      <c r="C368" s="13"/>
      <c r="D368" s="14"/>
      <c r="E368" s="15"/>
      <c r="F368" s="13"/>
      <c r="G368" s="13"/>
      <c r="H368" s="57"/>
      <c r="I368" s="15"/>
      <c r="J368" s="15"/>
      <c r="K368" s="85"/>
      <c r="L368" s="16"/>
    </row>
    <row r="369" spans="2:12">
      <c r="B369" s="13"/>
      <c r="C369" s="13"/>
      <c r="D369" s="14"/>
      <c r="E369" s="15"/>
      <c r="F369" s="13"/>
      <c r="G369" s="13"/>
      <c r="H369" s="57"/>
      <c r="I369" s="15"/>
      <c r="J369" s="15"/>
      <c r="K369" s="85"/>
      <c r="L369" s="16"/>
    </row>
    <row r="370" spans="2:12">
      <c r="B370" s="13"/>
      <c r="C370" s="13"/>
      <c r="D370" s="14"/>
      <c r="E370" s="15"/>
      <c r="F370" s="13"/>
      <c r="G370" s="13"/>
      <c r="H370" s="57"/>
      <c r="I370" s="15"/>
      <c r="J370" s="15"/>
      <c r="K370" s="85"/>
      <c r="L370" s="16"/>
    </row>
    <row r="371" spans="2:12">
      <c r="B371" s="13"/>
      <c r="C371" s="13"/>
      <c r="D371" s="14"/>
      <c r="E371" s="15"/>
      <c r="F371" s="13"/>
      <c r="G371" s="13"/>
      <c r="H371" s="57"/>
      <c r="I371" s="15"/>
      <c r="J371" s="15"/>
      <c r="K371" s="85"/>
      <c r="L371" s="16"/>
    </row>
    <row r="372" spans="2:12">
      <c r="B372" s="26"/>
      <c r="C372" s="26"/>
      <c r="D372" s="27"/>
      <c r="E372" s="28"/>
      <c r="F372" s="26"/>
      <c r="G372" s="26"/>
      <c r="H372" s="58"/>
      <c r="I372" s="28"/>
      <c r="J372" s="28"/>
      <c r="K372" s="83"/>
      <c r="L372" s="29"/>
    </row>
    <row r="373" spans="2:12">
      <c r="B373" s="26"/>
      <c r="C373" s="26"/>
      <c r="D373" s="27"/>
      <c r="E373" s="28"/>
      <c r="F373" s="26"/>
      <c r="G373" s="26"/>
      <c r="H373" s="58"/>
      <c r="I373" s="28"/>
      <c r="J373" s="28"/>
      <c r="K373" s="83"/>
      <c r="L373" s="29"/>
    </row>
    <row r="374" spans="2:12">
      <c r="B374" s="13"/>
      <c r="C374" s="13"/>
      <c r="D374" s="14"/>
      <c r="E374" s="15"/>
      <c r="F374" s="13"/>
      <c r="G374" s="13"/>
      <c r="H374" s="57"/>
      <c r="I374" s="15"/>
      <c r="J374" s="15"/>
      <c r="K374" s="85"/>
      <c r="L374" s="16"/>
    </row>
    <row r="375" spans="2:12">
      <c r="B375" s="13"/>
      <c r="C375" s="13"/>
      <c r="D375" s="14"/>
      <c r="E375" s="15"/>
      <c r="F375" s="13"/>
      <c r="G375" s="13"/>
      <c r="H375" s="57"/>
      <c r="I375" s="15"/>
      <c r="J375" s="15"/>
      <c r="K375" s="85"/>
      <c r="L375" s="16"/>
    </row>
    <row r="376" spans="2:12">
      <c r="B376" s="13"/>
      <c r="C376" s="13"/>
      <c r="D376" s="14"/>
      <c r="E376" s="15"/>
      <c r="F376" s="13"/>
      <c r="G376" s="13"/>
      <c r="H376" s="57"/>
      <c r="I376" s="15"/>
      <c r="J376" s="15"/>
      <c r="K376" s="85"/>
      <c r="L376" s="16"/>
    </row>
    <row r="377" spans="2:12">
      <c r="B377" s="26"/>
      <c r="C377" s="26"/>
      <c r="D377" s="27"/>
      <c r="E377" s="28"/>
      <c r="F377" s="26"/>
      <c r="G377" s="26"/>
      <c r="H377" s="58"/>
      <c r="I377" s="28"/>
      <c r="J377" s="28"/>
      <c r="K377" s="83"/>
      <c r="L377" s="29"/>
    </row>
    <row r="378" spans="2:12">
      <c r="B378" s="26"/>
      <c r="C378" s="26"/>
      <c r="D378" s="27"/>
      <c r="E378" s="28"/>
      <c r="F378" s="26"/>
      <c r="G378" s="26"/>
      <c r="H378" s="58"/>
      <c r="I378" s="28"/>
      <c r="J378" s="28"/>
      <c r="K378" s="83"/>
      <c r="L378" s="29"/>
    </row>
    <row r="379" spans="2:12">
      <c r="B379" s="13"/>
      <c r="C379" s="13"/>
      <c r="D379" s="14"/>
      <c r="E379" s="15"/>
      <c r="F379" s="13"/>
      <c r="G379" s="13"/>
      <c r="H379" s="57"/>
      <c r="I379" s="15"/>
      <c r="J379" s="15"/>
      <c r="K379" s="85"/>
      <c r="L379" s="16"/>
    </row>
    <row r="380" spans="2:12">
      <c r="B380" s="13"/>
      <c r="C380" s="13"/>
      <c r="D380" s="14"/>
      <c r="E380" s="15"/>
      <c r="F380" s="13"/>
      <c r="G380" s="13"/>
      <c r="H380" s="57"/>
      <c r="I380" s="15"/>
      <c r="J380" s="15"/>
      <c r="K380" s="85"/>
      <c r="L380" s="16"/>
    </row>
    <row r="381" spans="2:12">
      <c r="B381" s="13"/>
      <c r="C381" s="13"/>
      <c r="D381" s="14"/>
      <c r="E381" s="15"/>
      <c r="F381" s="13"/>
      <c r="G381" s="13"/>
      <c r="H381" s="57"/>
      <c r="I381" s="15"/>
      <c r="J381" s="15"/>
      <c r="K381" s="85"/>
      <c r="L381" s="16"/>
    </row>
    <row r="382" spans="2:12">
      <c r="B382" s="13"/>
      <c r="C382" s="13"/>
      <c r="D382" s="14"/>
      <c r="E382" s="15"/>
      <c r="F382" s="13"/>
      <c r="G382" s="13"/>
      <c r="H382" s="57"/>
      <c r="I382" s="15"/>
      <c r="J382" s="15"/>
      <c r="K382" s="85"/>
      <c r="L382" s="16"/>
    </row>
    <row r="383" spans="2:12">
      <c r="B383" s="13"/>
      <c r="C383" s="13"/>
      <c r="D383" s="14"/>
      <c r="E383" s="15"/>
      <c r="F383" s="13"/>
      <c r="G383" s="13"/>
      <c r="H383" s="57"/>
      <c r="I383" s="15"/>
      <c r="J383" s="15"/>
      <c r="K383" s="85"/>
      <c r="L383" s="16"/>
    </row>
    <row r="384" spans="2:12">
      <c r="B384" s="13"/>
      <c r="C384" s="13"/>
      <c r="D384" s="14"/>
      <c r="E384" s="15"/>
      <c r="F384" s="13"/>
      <c r="G384" s="13"/>
      <c r="H384" s="57"/>
      <c r="I384" s="15"/>
      <c r="J384" s="15"/>
      <c r="K384" s="85"/>
      <c r="L384" s="16"/>
    </row>
    <row r="385" spans="2:12">
      <c r="B385" s="13"/>
      <c r="C385" s="13"/>
      <c r="D385" s="14"/>
      <c r="E385" s="15"/>
      <c r="F385" s="13"/>
      <c r="G385" s="13"/>
      <c r="H385" s="57"/>
      <c r="I385" s="15"/>
      <c r="J385" s="15"/>
      <c r="K385" s="85"/>
      <c r="L385" s="16"/>
    </row>
    <row r="386" spans="2:12">
      <c r="B386" s="13"/>
      <c r="C386" s="13"/>
      <c r="D386" s="14"/>
      <c r="E386" s="15"/>
      <c r="F386" s="13"/>
      <c r="G386" s="13"/>
      <c r="H386" s="57"/>
      <c r="I386" s="15"/>
      <c r="J386" s="15"/>
      <c r="K386" s="85"/>
      <c r="L386" s="16"/>
    </row>
    <row r="387" spans="2:12">
      <c r="B387" s="13"/>
      <c r="C387" s="13"/>
      <c r="D387" s="14"/>
      <c r="E387" s="15"/>
      <c r="F387" s="13"/>
      <c r="G387" s="13"/>
      <c r="H387" s="57"/>
      <c r="I387" s="15"/>
      <c r="J387" s="15"/>
      <c r="K387" s="85"/>
      <c r="L387" s="16"/>
    </row>
    <row r="388" spans="2:12">
      <c r="B388" s="13"/>
      <c r="C388" s="13"/>
      <c r="D388" s="14"/>
      <c r="E388" s="15"/>
      <c r="F388" s="13"/>
      <c r="G388" s="13"/>
      <c r="H388" s="57"/>
      <c r="I388" s="15"/>
      <c r="J388" s="15"/>
      <c r="K388" s="85"/>
      <c r="L388" s="16"/>
    </row>
    <row r="389" spans="2:12">
      <c r="B389" s="13"/>
      <c r="C389" s="13"/>
      <c r="D389" s="14"/>
      <c r="E389" s="15"/>
      <c r="F389" s="13"/>
      <c r="G389" s="13"/>
      <c r="H389" s="57"/>
      <c r="I389" s="15"/>
      <c r="J389" s="15"/>
      <c r="K389" s="85"/>
      <c r="L389" s="16"/>
    </row>
    <row r="390" spans="2:12">
      <c r="B390" s="13"/>
      <c r="C390" s="13"/>
      <c r="D390" s="14"/>
      <c r="E390" s="15"/>
      <c r="F390" s="13"/>
      <c r="G390" s="13"/>
      <c r="H390" s="57"/>
      <c r="I390" s="15"/>
      <c r="J390" s="15"/>
      <c r="K390" s="85"/>
      <c r="L390" s="16"/>
    </row>
    <row r="391" spans="2:12">
      <c r="B391" s="13"/>
      <c r="C391" s="13"/>
      <c r="D391" s="14"/>
      <c r="E391" s="15"/>
      <c r="F391" s="13"/>
      <c r="G391" s="13"/>
      <c r="H391" s="57"/>
      <c r="I391" s="15"/>
      <c r="J391" s="15"/>
      <c r="K391" s="85"/>
      <c r="L391" s="16"/>
    </row>
    <row r="392" spans="2:12">
      <c r="B392" s="13"/>
      <c r="C392" s="13"/>
      <c r="D392" s="14"/>
      <c r="E392" s="15"/>
      <c r="F392" s="13"/>
      <c r="G392" s="13"/>
      <c r="H392" s="57"/>
      <c r="I392" s="15"/>
      <c r="J392" s="15"/>
      <c r="K392" s="85"/>
      <c r="L392" s="16"/>
    </row>
    <row r="393" spans="2:12">
      <c r="B393" s="13"/>
      <c r="C393" s="13"/>
      <c r="D393" s="14"/>
      <c r="E393" s="15"/>
      <c r="F393" s="13"/>
      <c r="G393" s="13"/>
      <c r="H393" s="57"/>
      <c r="I393" s="15"/>
      <c r="J393" s="15"/>
      <c r="K393" s="85"/>
      <c r="L393" s="16"/>
    </row>
    <row r="394" spans="2:12">
      <c r="B394" s="13"/>
      <c r="C394" s="13"/>
      <c r="D394" s="14"/>
      <c r="E394" s="15"/>
      <c r="F394" s="13"/>
      <c r="G394" s="13"/>
      <c r="H394" s="57"/>
      <c r="I394" s="15"/>
      <c r="J394" s="15"/>
      <c r="K394" s="85"/>
      <c r="L394" s="16"/>
    </row>
    <row r="395" spans="2:12">
      <c r="B395" s="13"/>
      <c r="C395" s="13"/>
      <c r="D395" s="14"/>
      <c r="E395" s="15"/>
      <c r="F395" s="13"/>
      <c r="G395" s="13"/>
      <c r="H395" s="57"/>
      <c r="I395" s="15"/>
      <c r="J395" s="15"/>
      <c r="K395" s="85"/>
      <c r="L395" s="16"/>
    </row>
    <row r="396" spans="2:12">
      <c r="B396" s="13"/>
      <c r="C396" s="13"/>
      <c r="D396" s="14"/>
      <c r="E396" s="15"/>
      <c r="F396" s="13"/>
      <c r="G396" s="13"/>
      <c r="H396" s="57"/>
      <c r="I396" s="15"/>
      <c r="J396" s="15"/>
      <c r="K396" s="85"/>
      <c r="L396" s="16"/>
    </row>
    <row r="397" spans="2:12">
      <c r="B397" s="13"/>
      <c r="C397" s="13"/>
      <c r="D397" s="14"/>
      <c r="E397" s="15"/>
      <c r="F397" s="13"/>
      <c r="G397" s="13"/>
      <c r="H397" s="57"/>
      <c r="I397" s="15"/>
      <c r="J397" s="15"/>
      <c r="K397" s="85"/>
      <c r="L397" s="16"/>
    </row>
    <row r="398" spans="2:12">
      <c r="B398" s="13"/>
      <c r="C398" s="13"/>
      <c r="D398" s="14"/>
      <c r="E398" s="15"/>
      <c r="F398" s="13"/>
      <c r="G398" s="13"/>
      <c r="H398" s="57"/>
      <c r="I398" s="15"/>
      <c r="J398" s="15"/>
      <c r="K398" s="85"/>
      <c r="L398" s="16"/>
    </row>
    <row r="399" spans="2:12">
      <c r="B399" s="13"/>
      <c r="C399" s="13"/>
      <c r="D399" s="14"/>
      <c r="E399" s="15"/>
      <c r="F399" s="13"/>
      <c r="G399" s="13"/>
      <c r="H399" s="57"/>
      <c r="I399" s="15"/>
      <c r="J399" s="15"/>
      <c r="K399" s="85"/>
      <c r="L399" s="16"/>
    </row>
    <row r="400" spans="2:12">
      <c r="B400" s="13"/>
      <c r="C400" s="13"/>
      <c r="D400" s="14"/>
      <c r="E400" s="15"/>
      <c r="F400" s="13"/>
      <c r="G400" s="13"/>
      <c r="H400" s="57"/>
      <c r="I400" s="15"/>
      <c r="J400" s="15"/>
      <c r="K400" s="85"/>
      <c r="L400" s="16"/>
    </row>
    <row r="401" spans="2:12">
      <c r="B401" s="13"/>
      <c r="C401" s="13"/>
      <c r="D401" s="14"/>
      <c r="E401" s="15"/>
      <c r="F401" s="13"/>
      <c r="G401" s="13"/>
      <c r="H401" s="57"/>
      <c r="I401" s="15"/>
      <c r="J401" s="15"/>
      <c r="K401" s="85"/>
      <c r="L401" s="16"/>
    </row>
    <row r="402" spans="2:12">
      <c r="B402" s="13"/>
      <c r="C402" s="13"/>
      <c r="D402" s="14"/>
      <c r="E402" s="15"/>
      <c r="F402" s="13"/>
      <c r="G402" s="13"/>
      <c r="H402" s="57"/>
      <c r="I402" s="15"/>
      <c r="J402" s="15"/>
      <c r="K402" s="85"/>
      <c r="L402" s="16"/>
    </row>
    <row r="403" spans="2:12">
      <c r="B403" s="13"/>
      <c r="C403" s="13"/>
      <c r="D403" s="14"/>
      <c r="E403" s="15"/>
      <c r="F403" s="13"/>
      <c r="G403" s="13"/>
      <c r="H403" s="57"/>
      <c r="I403" s="15"/>
      <c r="J403" s="15"/>
      <c r="K403" s="85"/>
      <c r="L403" s="16"/>
    </row>
    <row r="404" spans="2:12">
      <c r="B404" s="13"/>
      <c r="C404" s="13"/>
      <c r="D404" s="14"/>
      <c r="E404" s="15"/>
      <c r="F404" s="13"/>
      <c r="G404" s="13"/>
      <c r="H404" s="57"/>
      <c r="I404" s="15"/>
      <c r="J404" s="15"/>
      <c r="K404" s="85"/>
      <c r="L404" s="16"/>
    </row>
  </sheetData>
  <pageMargins left="0.7" right="0.7" top="0.75" bottom="0.75" header="0.3" footer="0.3"/>
  <pageSetup orientation="portrait" horizontalDpi="1200" verticalDpi="1200" r:id="rId1"/>
  <headerFooter>
    <oddHeader xml:space="preserve">&amp;C
</oddHead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Q92"/>
  <sheetViews>
    <sheetView showGridLines="0" view="pageLayout" zoomScale="95" zoomScaleNormal="100" zoomScalePageLayoutView="95" workbookViewId="0">
      <selection activeCell="A4" sqref="A4"/>
    </sheetView>
  </sheetViews>
  <sheetFormatPr baseColWidth="10" defaultRowHeight="15"/>
  <cols>
    <col min="1" max="1" width="7" customWidth="1"/>
    <col min="2" max="2" width="9.85546875" customWidth="1"/>
    <col min="3" max="3" width="13.5703125" customWidth="1"/>
    <col min="4" max="5" width="9.28515625" customWidth="1"/>
    <col min="6" max="6" width="8.5703125" customWidth="1"/>
    <col min="7" max="7" width="7.140625" customWidth="1"/>
    <col min="8" max="11" width="6.5703125" customWidth="1"/>
    <col min="12" max="12" width="9.28515625" customWidth="1"/>
    <col min="13" max="13" width="9.140625" customWidth="1"/>
    <col min="14" max="14" width="12.7109375" customWidth="1"/>
  </cols>
  <sheetData>
    <row r="3" spans="1:17" ht="30" customHeight="1">
      <c r="E3" s="102" t="s">
        <v>41</v>
      </c>
      <c r="F3" s="102"/>
      <c r="G3" s="102"/>
      <c r="H3" s="102"/>
      <c r="I3" s="102"/>
      <c r="J3" s="102"/>
      <c r="K3" s="102"/>
      <c r="L3" s="43"/>
    </row>
    <row r="4" spans="1:17">
      <c r="D4" s="44"/>
    </row>
    <row r="5" spans="1:17">
      <c r="N5" s="42" t="s">
        <v>149</v>
      </c>
    </row>
    <row r="6" spans="1:17">
      <c r="A6" t="s">
        <v>32</v>
      </c>
      <c r="L6" s="42" t="s">
        <v>33</v>
      </c>
      <c r="M6" s="52"/>
    </row>
    <row r="7" spans="1:17">
      <c r="A7" t="s">
        <v>38</v>
      </c>
      <c r="H7" s="2"/>
      <c r="I7" s="2"/>
    </row>
    <row r="8" spans="1:17">
      <c r="H8" s="2"/>
      <c r="I8" s="2"/>
    </row>
    <row r="9" spans="1:17" ht="17.25" customHeight="1">
      <c r="E9" s="108" t="s">
        <v>37</v>
      </c>
      <c r="F9" s="108"/>
      <c r="G9" s="108"/>
      <c r="H9" s="108"/>
      <c r="I9" s="108"/>
      <c r="J9" s="108"/>
      <c r="K9" s="108"/>
    </row>
    <row r="10" spans="1:17" ht="28.5" customHeight="1">
      <c r="A10" s="103"/>
      <c r="B10" s="110"/>
      <c r="C10" s="110"/>
      <c r="D10" s="111"/>
      <c r="E10" s="90"/>
      <c r="F10" s="90"/>
      <c r="G10" s="90"/>
      <c r="H10" s="90"/>
      <c r="I10" s="104"/>
      <c r="J10" s="104"/>
      <c r="K10" s="104"/>
      <c r="L10" s="101"/>
      <c r="M10" s="101"/>
      <c r="N10" s="101"/>
      <c r="P10" s="49"/>
      <c r="Q10" s="49"/>
    </row>
    <row r="11" spans="1:17" ht="12.75" customHeight="1">
      <c r="A11" s="103" t="s">
        <v>34</v>
      </c>
      <c r="B11" s="103"/>
      <c r="C11" s="103"/>
      <c r="D11" s="103"/>
      <c r="E11" s="90" t="s">
        <v>35</v>
      </c>
      <c r="F11" s="90"/>
      <c r="G11" s="90"/>
      <c r="H11" s="90"/>
      <c r="I11" s="90" t="s">
        <v>40</v>
      </c>
      <c r="J11" s="90"/>
      <c r="K11" s="90"/>
      <c r="L11" s="90" t="s">
        <v>36</v>
      </c>
      <c r="M11" s="90"/>
      <c r="N11" s="90"/>
    </row>
    <row r="12" spans="1:17">
      <c r="H12" s="2"/>
      <c r="I12" s="2"/>
    </row>
    <row r="13" spans="1:17" ht="15.75" customHeight="1">
      <c r="E13" s="109" t="s">
        <v>39</v>
      </c>
      <c r="F13" s="109"/>
      <c r="G13" s="109"/>
      <c r="H13" s="109"/>
      <c r="I13" s="109"/>
      <c r="J13" s="109"/>
      <c r="K13" s="109"/>
    </row>
    <row r="14" spans="1:17" s="25" customFormat="1" ht="21.75" customHeight="1">
      <c r="A14" s="47" t="s">
        <v>42</v>
      </c>
      <c r="B14" s="47" t="s">
        <v>28</v>
      </c>
      <c r="C14" s="47" t="s">
        <v>43</v>
      </c>
      <c r="D14" s="91" t="s">
        <v>44</v>
      </c>
      <c r="E14" s="91"/>
      <c r="F14" s="91"/>
      <c r="G14" s="91"/>
      <c r="H14" s="91" t="s">
        <v>45</v>
      </c>
      <c r="I14" s="91"/>
      <c r="J14" s="91" t="s">
        <v>46</v>
      </c>
      <c r="K14" s="91"/>
      <c r="L14" s="91" t="s">
        <v>47</v>
      </c>
      <c r="M14" s="91"/>
      <c r="N14" s="46" t="s">
        <v>48</v>
      </c>
    </row>
    <row r="15" spans="1:17" s="49" customFormat="1" ht="50.25" customHeight="1">
      <c r="A15" s="47"/>
      <c r="B15" s="53"/>
      <c r="C15" s="54"/>
      <c r="D15" s="92"/>
      <c r="E15" s="92"/>
      <c r="F15" s="92"/>
      <c r="G15" s="92"/>
      <c r="H15" s="91"/>
      <c r="I15" s="91"/>
      <c r="J15" s="91"/>
      <c r="K15" s="91"/>
      <c r="L15" s="91"/>
      <c r="M15" s="91"/>
      <c r="N15" s="56"/>
    </row>
    <row r="16" spans="1:17" s="49" customFormat="1" ht="50.25" customHeight="1">
      <c r="A16" s="47"/>
      <c r="B16" s="53"/>
      <c r="C16" s="54"/>
      <c r="D16" s="92"/>
      <c r="E16" s="92"/>
      <c r="F16" s="92"/>
      <c r="G16" s="92"/>
      <c r="H16" s="91"/>
      <c r="I16" s="91"/>
      <c r="J16" s="91"/>
      <c r="K16" s="91"/>
      <c r="L16" s="91"/>
      <c r="M16" s="91"/>
      <c r="N16" s="56"/>
    </row>
    <row r="17" spans="1:14" s="49" customFormat="1" ht="50.25" customHeight="1">
      <c r="A17" s="47"/>
      <c r="B17" s="53"/>
      <c r="C17" s="54"/>
      <c r="D17" s="92"/>
      <c r="E17" s="92"/>
      <c r="F17" s="92"/>
      <c r="G17" s="92"/>
      <c r="H17" s="91"/>
      <c r="I17" s="91"/>
      <c r="J17" s="91"/>
      <c r="K17" s="91"/>
      <c r="L17" s="91"/>
      <c r="M17" s="91"/>
      <c r="N17" s="56"/>
    </row>
    <row r="18" spans="1:14" s="49" customFormat="1" ht="50.25" customHeight="1">
      <c r="A18" s="47"/>
      <c r="B18" s="53"/>
      <c r="C18" s="54"/>
      <c r="D18" s="92"/>
      <c r="E18" s="92"/>
      <c r="F18" s="92"/>
      <c r="G18" s="92"/>
      <c r="H18" s="91"/>
      <c r="I18" s="91"/>
      <c r="J18" s="91"/>
      <c r="K18" s="91"/>
      <c r="L18" s="91"/>
      <c r="M18" s="91"/>
      <c r="N18" s="56"/>
    </row>
    <row r="19" spans="1:14" s="49" customFormat="1" ht="50.25" customHeight="1">
      <c r="A19" s="47"/>
      <c r="B19" s="53"/>
      <c r="C19" s="54"/>
      <c r="D19" s="92"/>
      <c r="E19" s="92"/>
      <c r="F19" s="92"/>
      <c r="G19" s="92"/>
      <c r="H19" s="91"/>
      <c r="I19" s="91"/>
      <c r="J19" s="91"/>
      <c r="K19" s="91"/>
      <c r="L19" s="91"/>
      <c r="M19" s="91"/>
      <c r="N19" s="56"/>
    </row>
    <row r="20" spans="1:14" ht="15" customHeight="1">
      <c r="B20" s="45"/>
      <c r="E20" s="50" t="s">
        <v>31</v>
      </c>
      <c r="F20" s="55"/>
      <c r="H20" s="51"/>
      <c r="I20" s="50" t="s">
        <v>51</v>
      </c>
      <c r="J20" s="89"/>
      <c r="K20" s="89"/>
    </row>
    <row r="23" spans="1:14" ht="30" customHeight="1">
      <c r="E23" s="102" t="s">
        <v>41</v>
      </c>
      <c r="F23" s="102"/>
      <c r="G23" s="102"/>
      <c r="H23" s="102"/>
      <c r="I23" s="102"/>
      <c r="J23" s="102"/>
      <c r="K23" s="102"/>
      <c r="L23" s="43"/>
    </row>
    <row r="24" spans="1:14">
      <c r="D24" s="44"/>
    </row>
    <row r="25" spans="1:14">
      <c r="G25" s="105" t="s">
        <v>49</v>
      </c>
      <c r="H25" s="105"/>
      <c r="N25" s="42" t="s">
        <v>52</v>
      </c>
    </row>
    <row r="26" spans="1:14" ht="14.25" customHeight="1">
      <c r="H26" s="2"/>
      <c r="I26" s="2"/>
    </row>
    <row r="27" spans="1:14" ht="28.5" customHeight="1">
      <c r="A27" s="103"/>
      <c r="B27" s="103"/>
      <c r="C27" s="103"/>
      <c r="D27" s="103"/>
      <c r="E27" s="90"/>
      <c r="F27" s="90"/>
      <c r="G27" s="90"/>
      <c r="H27" s="90"/>
      <c r="I27" s="104"/>
      <c r="J27" s="104"/>
      <c r="K27" s="104"/>
      <c r="L27" s="107"/>
      <c r="M27" s="107"/>
      <c r="N27" s="107"/>
    </row>
    <row r="28" spans="1:14" ht="12.75" customHeight="1">
      <c r="A28" s="103" t="s">
        <v>34</v>
      </c>
      <c r="B28" s="103"/>
      <c r="C28" s="103"/>
      <c r="D28" s="103"/>
      <c r="E28" s="90" t="s">
        <v>35</v>
      </c>
      <c r="F28" s="90"/>
      <c r="G28" s="90"/>
      <c r="H28" s="90"/>
      <c r="I28" s="90" t="s">
        <v>40</v>
      </c>
      <c r="J28" s="90"/>
      <c r="K28" s="90"/>
      <c r="L28" s="90" t="s">
        <v>36</v>
      </c>
      <c r="M28" s="90"/>
      <c r="N28" s="90"/>
    </row>
    <row r="29" spans="1:14">
      <c r="H29" s="2"/>
      <c r="I29" s="2"/>
    </row>
    <row r="30" spans="1:14" ht="15.75" customHeight="1">
      <c r="E30" s="106" t="s">
        <v>39</v>
      </c>
      <c r="F30" s="106"/>
      <c r="G30" s="106"/>
      <c r="H30" s="106"/>
      <c r="I30" s="106"/>
      <c r="J30" s="106"/>
      <c r="K30" s="106"/>
    </row>
    <row r="31" spans="1:14" ht="21.75" customHeight="1">
      <c r="A31" s="47" t="s">
        <v>42</v>
      </c>
      <c r="B31" s="47" t="s">
        <v>28</v>
      </c>
      <c r="C31" s="47" t="s">
        <v>43</v>
      </c>
      <c r="D31" s="98" t="s">
        <v>44</v>
      </c>
      <c r="E31" s="100"/>
      <c r="F31" s="100"/>
      <c r="G31" s="99"/>
      <c r="H31" s="98" t="s">
        <v>45</v>
      </c>
      <c r="I31" s="99"/>
      <c r="J31" s="98" t="s">
        <v>46</v>
      </c>
      <c r="K31" s="99"/>
      <c r="L31" s="98" t="s">
        <v>47</v>
      </c>
      <c r="M31" s="99"/>
      <c r="N31" s="46" t="s">
        <v>48</v>
      </c>
    </row>
    <row r="32" spans="1:14" ht="50.25" customHeight="1">
      <c r="A32" s="47"/>
      <c r="B32" s="47"/>
      <c r="C32" s="48"/>
      <c r="D32" s="93"/>
      <c r="E32" s="94"/>
      <c r="F32" s="94"/>
      <c r="G32" s="95"/>
      <c r="H32" s="96"/>
      <c r="I32" s="97"/>
      <c r="J32" s="98"/>
      <c r="K32" s="99"/>
      <c r="L32" s="98"/>
      <c r="M32" s="99"/>
      <c r="N32" s="56"/>
    </row>
    <row r="33" spans="1:14" ht="50.25" customHeight="1">
      <c r="A33" s="47"/>
      <c r="B33" s="47"/>
      <c r="C33" s="48"/>
      <c r="D33" s="93"/>
      <c r="E33" s="94"/>
      <c r="F33" s="94"/>
      <c r="G33" s="95"/>
      <c r="H33" s="96"/>
      <c r="I33" s="97"/>
      <c r="J33" s="98"/>
      <c r="K33" s="99"/>
      <c r="L33" s="98"/>
      <c r="M33" s="99"/>
      <c r="N33" s="56"/>
    </row>
    <row r="34" spans="1:14" ht="50.25" customHeight="1">
      <c r="A34" s="47"/>
      <c r="B34" s="47"/>
      <c r="C34" s="48"/>
      <c r="D34" s="93"/>
      <c r="E34" s="94"/>
      <c r="F34" s="94"/>
      <c r="G34" s="95"/>
      <c r="H34" s="96"/>
      <c r="I34" s="97"/>
      <c r="J34" s="98"/>
      <c r="K34" s="99"/>
      <c r="L34" s="98"/>
      <c r="M34" s="99"/>
      <c r="N34" s="56"/>
    </row>
    <row r="35" spans="1:14" ht="50.25" customHeight="1">
      <c r="A35" s="47"/>
      <c r="B35" s="47"/>
      <c r="C35" s="48"/>
      <c r="D35" s="93"/>
      <c r="E35" s="94"/>
      <c r="F35" s="94"/>
      <c r="G35" s="95"/>
      <c r="H35" s="96"/>
      <c r="I35" s="97"/>
      <c r="J35" s="98"/>
      <c r="K35" s="99"/>
      <c r="L35" s="98"/>
      <c r="M35" s="99"/>
      <c r="N35" s="56"/>
    </row>
    <row r="36" spans="1:14" ht="50.25" customHeight="1">
      <c r="A36" s="47"/>
      <c r="B36" s="47"/>
      <c r="C36" s="48"/>
      <c r="D36" s="93"/>
      <c r="E36" s="94"/>
      <c r="F36" s="94"/>
      <c r="G36" s="95"/>
      <c r="H36" s="96"/>
      <c r="I36" s="97"/>
      <c r="J36" s="98"/>
      <c r="K36" s="99"/>
      <c r="L36" s="98"/>
      <c r="M36" s="99"/>
      <c r="N36" s="56"/>
    </row>
    <row r="37" spans="1:14" ht="50.25" customHeight="1">
      <c r="A37" s="47"/>
      <c r="B37" s="47"/>
      <c r="C37" s="48"/>
      <c r="D37" s="93"/>
      <c r="E37" s="94"/>
      <c r="F37" s="94"/>
      <c r="G37" s="95"/>
      <c r="H37" s="96"/>
      <c r="I37" s="97"/>
      <c r="J37" s="98"/>
      <c r="K37" s="99"/>
      <c r="L37" s="98"/>
      <c r="M37" s="99"/>
      <c r="N37" s="56"/>
    </row>
    <row r="38" spans="1:14">
      <c r="B38" s="45"/>
      <c r="E38" s="50" t="s">
        <v>31</v>
      </c>
      <c r="F38" s="55"/>
      <c r="H38" s="51"/>
      <c r="I38" s="50" t="s">
        <v>51</v>
      </c>
      <c r="J38" s="89"/>
      <c r="K38" s="89"/>
    </row>
    <row r="41" spans="1:14" ht="30.75" customHeight="1">
      <c r="E41" s="112" t="s">
        <v>41</v>
      </c>
      <c r="F41" s="112"/>
      <c r="G41" s="112"/>
      <c r="H41" s="112"/>
      <c r="I41" s="112"/>
      <c r="J41" s="112"/>
      <c r="K41" s="112"/>
      <c r="L41" s="43"/>
    </row>
    <row r="42" spans="1:14">
      <c r="D42" s="44"/>
    </row>
    <row r="43" spans="1:14">
      <c r="G43" s="105" t="s">
        <v>49</v>
      </c>
      <c r="H43" s="105"/>
      <c r="N43" s="42" t="s">
        <v>53</v>
      </c>
    </row>
    <row r="44" spans="1:14" ht="14.25" customHeight="1">
      <c r="H44" s="2"/>
      <c r="I44" s="2"/>
    </row>
    <row r="45" spans="1:14" ht="28.5" customHeight="1">
      <c r="A45" s="103"/>
      <c r="B45" s="103"/>
      <c r="C45" s="103"/>
      <c r="D45" s="103"/>
      <c r="E45" s="90"/>
      <c r="F45" s="90"/>
      <c r="G45" s="90"/>
      <c r="H45" s="90"/>
      <c r="I45" s="104"/>
      <c r="J45" s="104"/>
      <c r="K45" s="104"/>
      <c r="L45" s="101"/>
      <c r="M45" s="101"/>
      <c r="N45" s="101"/>
    </row>
    <row r="46" spans="1:14" ht="12.75" customHeight="1">
      <c r="A46" s="103" t="s">
        <v>34</v>
      </c>
      <c r="B46" s="103"/>
      <c r="C46" s="103"/>
      <c r="D46" s="103"/>
      <c r="E46" s="90" t="s">
        <v>35</v>
      </c>
      <c r="F46" s="90"/>
      <c r="G46" s="90"/>
      <c r="H46" s="90"/>
      <c r="I46" s="90" t="s">
        <v>40</v>
      </c>
      <c r="J46" s="90"/>
      <c r="K46" s="90"/>
      <c r="L46" s="90" t="s">
        <v>36</v>
      </c>
      <c r="M46" s="90"/>
      <c r="N46" s="90"/>
    </row>
    <row r="47" spans="1:14">
      <c r="H47" s="2"/>
      <c r="I47" s="2"/>
    </row>
    <row r="48" spans="1:14" ht="15.75" customHeight="1">
      <c r="E48" s="106" t="s">
        <v>39</v>
      </c>
      <c r="F48" s="106"/>
      <c r="G48" s="106"/>
      <c r="H48" s="106"/>
      <c r="I48" s="106"/>
      <c r="J48" s="106"/>
      <c r="K48" s="106"/>
    </row>
    <row r="49" spans="1:14" ht="21.75" customHeight="1">
      <c r="A49" s="47" t="s">
        <v>42</v>
      </c>
      <c r="B49" s="47" t="s">
        <v>28</v>
      </c>
      <c r="C49" s="47" t="s">
        <v>43</v>
      </c>
      <c r="D49" s="98" t="s">
        <v>44</v>
      </c>
      <c r="E49" s="100"/>
      <c r="F49" s="100"/>
      <c r="G49" s="99"/>
      <c r="H49" s="98" t="s">
        <v>45</v>
      </c>
      <c r="I49" s="99"/>
      <c r="J49" s="98" t="s">
        <v>46</v>
      </c>
      <c r="K49" s="99"/>
      <c r="L49" s="98" t="s">
        <v>47</v>
      </c>
      <c r="M49" s="99"/>
      <c r="N49" s="46" t="s">
        <v>48</v>
      </c>
    </row>
    <row r="50" spans="1:14" ht="50.25" customHeight="1">
      <c r="A50" s="47"/>
      <c r="B50" s="47"/>
      <c r="C50" s="48"/>
      <c r="D50" s="93"/>
      <c r="E50" s="94"/>
      <c r="F50" s="94"/>
      <c r="G50" s="95"/>
      <c r="H50" s="96"/>
      <c r="I50" s="97"/>
      <c r="J50" s="98"/>
      <c r="K50" s="99"/>
      <c r="L50" s="98"/>
      <c r="M50" s="99"/>
      <c r="N50" s="56"/>
    </row>
    <row r="51" spans="1:14" ht="50.25" customHeight="1">
      <c r="A51" s="47"/>
      <c r="B51" s="47"/>
      <c r="C51" s="48"/>
      <c r="D51" s="93"/>
      <c r="E51" s="94"/>
      <c r="F51" s="94"/>
      <c r="G51" s="95"/>
      <c r="H51" s="96"/>
      <c r="I51" s="97"/>
      <c r="J51" s="98"/>
      <c r="K51" s="99"/>
      <c r="L51" s="98"/>
      <c r="M51" s="99"/>
      <c r="N51" s="56"/>
    </row>
    <row r="52" spans="1:14" ht="50.25" customHeight="1">
      <c r="A52" s="47"/>
      <c r="B52" s="47"/>
      <c r="C52" s="48"/>
      <c r="D52" s="93"/>
      <c r="E52" s="94"/>
      <c r="F52" s="94"/>
      <c r="G52" s="95"/>
      <c r="H52" s="96"/>
      <c r="I52" s="97"/>
      <c r="J52" s="98"/>
      <c r="K52" s="99"/>
      <c r="L52" s="98"/>
      <c r="M52" s="99"/>
      <c r="N52" s="56"/>
    </row>
    <row r="53" spans="1:14" ht="50.25" customHeight="1">
      <c r="A53" s="47"/>
      <c r="B53" s="47"/>
      <c r="C53" s="48"/>
      <c r="D53" s="93"/>
      <c r="E53" s="94"/>
      <c r="F53" s="94"/>
      <c r="G53" s="95"/>
      <c r="H53" s="96"/>
      <c r="I53" s="97"/>
      <c r="J53" s="98"/>
      <c r="K53" s="99"/>
      <c r="L53" s="98"/>
      <c r="M53" s="99"/>
      <c r="N53" s="56"/>
    </row>
    <row r="54" spans="1:14" ht="50.25" customHeight="1">
      <c r="A54" s="47"/>
      <c r="B54" s="47"/>
      <c r="C54" s="48"/>
      <c r="D54" s="93"/>
      <c r="E54" s="94"/>
      <c r="F54" s="94"/>
      <c r="G54" s="95"/>
      <c r="H54" s="96"/>
      <c r="I54" s="97"/>
      <c r="J54" s="98"/>
      <c r="K54" s="99"/>
      <c r="L54" s="98"/>
      <c r="M54" s="99"/>
      <c r="N54" s="56"/>
    </row>
    <row r="55" spans="1:14" ht="50.25" customHeight="1">
      <c r="A55" s="47"/>
      <c r="B55" s="47"/>
      <c r="C55" s="48"/>
      <c r="D55" s="93"/>
      <c r="E55" s="94"/>
      <c r="F55" s="94"/>
      <c r="G55" s="95"/>
      <c r="H55" s="96"/>
      <c r="I55" s="97"/>
      <c r="J55" s="98"/>
      <c r="K55" s="99"/>
      <c r="L55" s="98"/>
      <c r="M55" s="99"/>
      <c r="N55" s="56"/>
    </row>
    <row r="56" spans="1:14">
      <c r="B56" s="45"/>
      <c r="E56" s="50" t="s">
        <v>31</v>
      </c>
      <c r="F56" s="55"/>
      <c r="H56" s="51"/>
      <c r="I56" s="50" t="s">
        <v>51</v>
      </c>
      <c r="J56" s="89"/>
      <c r="K56" s="89"/>
    </row>
    <row r="59" spans="1:14" ht="30.75" customHeight="1">
      <c r="E59" s="112" t="s">
        <v>41</v>
      </c>
      <c r="F59" s="112"/>
      <c r="G59" s="112"/>
      <c r="H59" s="112"/>
      <c r="I59" s="112"/>
      <c r="J59" s="112"/>
      <c r="K59" s="112"/>
      <c r="L59" s="43"/>
    </row>
    <row r="60" spans="1:14">
      <c r="D60" s="44"/>
    </row>
    <row r="61" spans="1:14">
      <c r="G61" s="105" t="s">
        <v>49</v>
      </c>
      <c r="H61" s="105"/>
      <c r="N61" s="42" t="s">
        <v>54</v>
      </c>
    </row>
    <row r="62" spans="1:14">
      <c r="H62" s="2"/>
      <c r="I62" s="2"/>
    </row>
    <row r="63" spans="1:14" ht="28.5" customHeight="1">
      <c r="A63" s="103"/>
      <c r="B63" s="103"/>
      <c r="C63" s="103"/>
      <c r="D63" s="103"/>
      <c r="E63" s="90"/>
      <c r="F63" s="90"/>
      <c r="G63" s="90"/>
      <c r="H63" s="90"/>
      <c r="I63" s="104"/>
      <c r="J63" s="104"/>
      <c r="K63" s="104"/>
      <c r="L63" s="101"/>
      <c r="M63" s="101"/>
      <c r="N63" s="101"/>
    </row>
    <row r="64" spans="1:14" ht="12.75" customHeight="1">
      <c r="A64" s="103" t="s">
        <v>34</v>
      </c>
      <c r="B64" s="103"/>
      <c r="C64" s="103"/>
      <c r="D64" s="103"/>
      <c r="E64" s="90" t="s">
        <v>35</v>
      </c>
      <c r="F64" s="90"/>
      <c r="G64" s="90"/>
      <c r="H64" s="90"/>
      <c r="I64" s="90" t="s">
        <v>40</v>
      </c>
      <c r="J64" s="90"/>
      <c r="K64" s="90"/>
      <c r="L64" s="90" t="s">
        <v>36</v>
      </c>
      <c r="M64" s="90"/>
      <c r="N64" s="90"/>
    </row>
    <row r="65" spans="1:14">
      <c r="H65" s="2"/>
      <c r="I65" s="2"/>
    </row>
    <row r="66" spans="1:14" ht="15.75" customHeight="1">
      <c r="E66" s="106" t="s">
        <v>39</v>
      </c>
      <c r="F66" s="106"/>
      <c r="G66" s="106"/>
      <c r="H66" s="106"/>
      <c r="I66" s="106"/>
      <c r="J66" s="106"/>
      <c r="K66" s="106"/>
    </row>
    <row r="67" spans="1:14" ht="21.75" customHeight="1">
      <c r="A67" s="47" t="s">
        <v>42</v>
      </c>
      <c r="B67" s="47" t="s">
        <v>28</v>
      </c>
      <c r="C67" s="47" t="s">
        <v>43</v>
      </c>
      <c r="D67" s="98" t="s">
        <v>44</v>
      </c>
      <c r="E67" s="100"/>
      <c r="F67" s="100"/>
      <c r="G67" s="99"/>
      <c r="H67" s="98" t="s">
        <v>45</v>
      </c>
      <c r="I67" s="99"/>
      <c r="J67" s="98" t="s">
        <v>46</v>
      </c>
      <c r="K67" s="99"/>
      <c r="L67" s="98" t="s">
        <v>47</v>
      </c>
      <c r="M67" s="99"/>
      <c r="N67" s="46" t="s">
        <v>48</v>
      </c>
    </row>
    <row r="68" spans="1:14" ht="50.25" customHeight="1">
      <c r="A68" s="47"/>
      <c r="B68" s="47"/>
      <c r="C68" s="48"/>
      <c r="D68" s="93"/>
      <c r="E68" s="94"/>
      <c r="F68" s="94"/>
      <c r="G68" s="95"/>
      <c r="H68" s="96"/>
      <c r="I68" s="97"/>
      <c r="J68" s="98"/>
      <c r="K68" s="99"/>
      <c r="L68" s="98"/>
      <c r="M68" s="99"/>
      <c r="N68" s="56"/>
    </row>
    <row r="69" spans="1:14" ht="50.25" customHeight="1">
      <c r="A69" s="47"/>
      <c r="B69" s="47"/>
      <c r="C69" s="48"/>
      <c r="D69" s="93"/>
      <c r="E69" s="94"/>
      <c r="F69" s="94"/>
      <c r="G69" s="95"/>
      <c r="H69" s="96"/>
      <c r="I69" s="97"/>
      <c r="J69" s="98"/>
      <c r="K69" s="99"/>
      <c r="L69" s="98"/>
      <c r="M69" s="99"/>
      <c r="N69" s="56"/>
    </row>
    <row r="70" spans="1:14" ht="50.25" customHeight="1">
      <c r="A70" s="47"/>
      <c r="B70" s="47"/>
      <c r="C70" s="48"/>
      <c r="D70" s="93"/>
      <c r="E70" s="94"/>
      <c r="F70" s="94"/>
      <c r="G70" s="95"/>
      <c r="H70" s="96"/>
      <c r="I70" s="97"/>
      <c r="J70" s="98"/>
      <c r="K70" s="99"/>
      <c r="L70" s="98"/>
      <c r="M70" s="99"/>
      <c r="N70" s="56"/>
    </row>
    <row r="71" spans="1:14" ht="50.25" customHeight="1">
      <c r="A71" s="47"/>
      <c r="B71" s="47"/>
      <c r="C71" s="48"/>
      <c r="D71" s="93"/>
      <c r="E71" s="94"/>
      <c r="F71" s="94"/>
      <c r="G71" s="95"/>
      <c r="H71" s="96"/>
      <c r="I71" s="97"/>
      <c r="J71" s="98"/>
      <c r="K71" s="99"/>
      <c r="L71" s="98"/>
      <c r="M71" s="99"/>
      <c r="N71" s="56"/>
    </row>
    <row r="72" spans="1:14" ht="50.25" customHeight="1">
      <c r="A72" s="47"/>
      <c r="B72" s="47"/>
      <c r="C72" s="48"/>
      <c r="D72" s="93"/>
      <c r="E72" s="94"/>
      <c r="F72" s="94"/>
      <c r="G72" s="95"/>
      <c r="H72" s="96"/>
      <c r="I72" s="97"/>
      <c r="J72" s="98"/>
      <c r="K72" s="99"/>
      <c r="L72" s="98"/>
      <c r="M72" s="99"/>
      <c r="N72" s="56"/>
    </row>
    <row r="73" spans="1:14" ht="50.25" customHeight="1">
      <c r="A73" s="47"/>
      <c r="B73" s="47"/>
      <c r="C73" s="48"/>
      <c r="D73" s="93"/>
      <c r="E73" s="94"/>
      <c r="F73" s="94"/>
      <c r="G73" s="95"/>
      <c r="H73" s="96"/>
      <c r="I73" s="97"/>
      <c r="J73" s="98"/>
      <c r="K73" s="99"/>
      <c r="L73" s="98"/>
      <c r="M73" s="99"/>
      <c r="N73" s="56"/>
    </row>
    <row r="74" spans="1:14">
      <c r="B74" s="45"/>
      <c r="E74" s="50" t="s">
        <v>31</v>
      </c>
      <c r="F74" s="55"/>
      <c r="H74" s="51"/>
      <c r="I74" s="50" t="s">
        <v>51</v>
      </c>
      <c r="J74" s="89"/>
      <c r="K74" s="89"/>
    </row>
    <row r="77" spans="1:14" ht="31.5" customHeight="1">
      <c r="E77" s="112" t="s">
        <v>41</v>
      </c>
      <c r="F77" s="112"/>
      <c r="G77" s="112"/>
      <c r="H77" s="112"/>
      <c r="I77" s="112"/>
      <c r="J77" s="112"/>
      <c r="K77" s="112"/>
      <c r="L77" s="43"/>
    </row>
    <row r="78" spans="1:14">
      <c r="D78" s="44"/>
    </row>
    <row r="79" spans="1:14">
      <c r="G79" s="105" t="s">
        <v>49</v>
      </c>
      <c r="H79" s="105"/>
      <c r="N79" s="42" t="s">
        <v>287</v>
      </c>
    </row>
    <row r="80" spans="1:14">
      <c r="H80" s="2"/>
      <c r="I80" s="2"/>
    </row>
    <row r="81" spans="1:14" ht="28.5" customHeight="1">
      <c r="A81" s="103" t="s">
        <v>271</v>
      </c>
      <c r="B81" s="103"/>
      <c r="C81" s="103"/>
      <c r="D81" s="103"/>
      <c r="E81" s="90"/>
      <c r="F81" s="90"/>
      <c r="G81" s="90"/>
      <c r="H81" s="90"/>
      <c r="I81" s="104" t="s">
        <v>158</v>
      </c>
      <c r="J81" s="104"/>
      <c r="K81" s="104"/>
      <c r="L81" s="101"/>
      <c r="M81" s="101"/>
      <c r="N81" s="101"/>
    </row>
    <row r="82" spans="1:14" ht="13.5" customHeight="1">
      <c r="A82" s="103" t="s">
        <v>34</v>
      </c>
      <c r="B82" s="103"/>
      <c r="C82" s="103"/>
      <c r="D82" s="103"/>
      <c r="E82" s="90" t="s">
        <v>35</v>
      </c>
      <c r="F82" s="90"/>
      <c r="G82" s="90"/>
      <c r="H82" s="90"/>
      <c r="I82" s="90" t="s">
        <v>40</v>
      </c>
      <c r="J82" s="90"/>
      <c r="K82" s="90"/>
      <c r="L82" s="90" t="s">
        <v>36</v>
      </c>
      <c r="M82" s="90"/>
      <c r="N82" s="90"/>
    </row>
    <row r="83" spans="1:14">
      <c r="H83" s="2"/>
      <c r="I83" s="2"/>
    </row>
    <row r="84" spans="1:14" ht="15.75" customHeight="1">
      <c r="E84" s="106" t="s">
        <v>39</v>
      </c>
      <c r="F84" s="106"/>
      <c r="G84" s="106"/>
      <c r="H84" s="106"/>
      <c r="I84" s="106"/>
      <c r="J84" s="106"/>
      <c r="K84" s="106"/>
    </row>
    <row r="85" spans="1:14" ht="21.75" customHeight="1">
      <c r="A85" s="47" t="s">
        <v>42</v>
      </c>
      <c r="B85" s="47" t="s">
        <v>28</v>
      </c>
      <c r="C85" s="47" t="s">
        <v>43</v>
      </c>
      <c r="D85" s="98" t="s">
        <v>44</v>
      </c>
      <c r="E85" s="100"/>
      <c r="F85" s="100"/>
      <c r="G85" s="99"/>
      <c r="H85" s="98" t="s">
        <v>45</v>
      </c>
      <c r="I85" s="99"/>
      <c r="J85" s="98" t="s">
        <v>46</v>
      </c>
      <c r="K85" s="99"/>
      <c r="L85" s="98" t="s">
        <v>47</v>
      </c>
      <c r="M85" s="99"/>
      <c r="N85" s="46" t="s">
        <v>48</v>
      </c>
    </row>
    <row r="86" spans="1:14" ht="50.25" customHeight="1">
      <c r="A86" s="47">
        <v>1</v>
      </c>
      <c r="B86" s="47"/>
      <c r="C86" s="48" t="s">
        <v>276</v>
      </c>
      <c r="D86" s="93" t="s">
        <v>273</v>
      </c>
      <c r="E86" s="94"/>
      <c r="F86" s="94"/>
      <c r="G86" s="95"/>
      <c r="H86" s="96" t="s">
        <v>158</v>
      </c>
      <c r="I86" s="97"/>
      <c r="J86" s="96" t="s">
        <v>158</v>
      </c>
      <c r="K86" s="97"/>
      <c r="L86" s="96" t="s">
        <v>158</v>
      </c>
      <c r="M86" s="97"/>
      <c r="N86" s="56" t="s">
        <v>158</v>
      </c>
    </row>
    <row r="87" spans="1:14" ht="50.25" customHeight="1">
      <c r="A87" s="47">
        <v>1</v>
      </c>
      <c r="B87" s="47"/>
      <c r="C87" s="48" t="s">
        <v>275</v>
      </c>
      <c r="D87" s="93" t="s">
        <v>273</v>
      </c>
      <c r="E87" s="94"/>
      <c r="F87" s="94"/>
      <c r="G87" s="95"/>
      <c r="H87" s="96" t="s">
        <v>158</v>
      </c>
      <c r="I87" s="97"/>
      <c r="J87" s="96" t="s">
        <v>158</v>
      </c>
      <c r="K87" s="97"/>
      <c r="L87" s="96" t="s">
        <v>158</v>
      </c>
      <c r="M87" s="97"/>
      <c r="N87" s="56" t="s">
        <v>158</v>
      </c>
    </row>
    <row r="88" spans="1:14" ht="50.25" customHeight="1">
      <c r="A88" s="47">
        <v>1</v>
      </c>
      <c r="B88" s="47"/>
      <c r="C88" s="48" t="s">
        <v>274</v>
      </c>
      <c r="D88" s="93" t="s">
        <v>273</v>
      </c>
      <c r="E88" s="94"/>
      <c r="F88" s="94"/>
      <c r="G88" s="95"/>
      <c r="H88" s="96" t="s">
        <v>158</v>
      </c>
      <c r="I88" s="97"/>
      <c r="J88" s="96" t="s">
        <v>158</v>
      </c>
      <c r="K88" s="97"/>
      <c r="L88" s="96" t="s">
        <v>158</v>
      </c>
      <c r="M88" s="97"/>
      <c r="N88" s="56" t="s">
        <v>158</v>
      </c>
    </row>
    <row r="89" spans="1:14" ht="50.25" customHeight="1">
      <c r="A89" s="47"/>
      <c r="B89" s="47"/>
      <c r="C89" s="48"/>
      <c r="D89" s="93"/>
      <c r="E89" s="94"/>
      <c r="F89" s="94"/>
      <c r="G89" s="95"/>
      <c r="H89" s="96"/>
      <c r="I89" s="97"/>
      <c r="J89" s="98"/>
      <c r="K89" s="99"/>
      <c r="L89" s="98"/>
      <c r="M89" s="99"/>
      <c r="N89" s="56"/>
    </row>
    <row r="90" spans="1:14" ht="50.25" customHeight="1">
      <c r="A90" s="47"/>
      <c r="B90" s="47"/>
      <c r="C90" s="48"/>
      <c r="D90" s="93"/>
      <c r="E90" s="94"/>
      <c r="F90" s="94"/>
      <c r="G90" s="95"/>
      <c r="H90" s="96"/>
      <c r="I90" s="97"/>
      <c r="J90" s="98"/>
      <c r="K90" s="99"/>
      <c r="L90" s="98"/>
      <c r="M90" s="99"/>
      <c r="N90" s="56"/>
    </row>
    <row r="91" spans="1:14" ht="50.25" customHeight="1">
      <c r="A91" s="47"/>
      <c r="B91" s="47"/>
      <c r="C91" s="48"/>
      <c r="D91" s="93"/>
      <c r="E91" s="94"/>
      <c r="F91" s="94"/>
      <c r="G91" s="95"/>
      <c r="H91" s="96"/>
      <c r="I91" s="97"/>
      <c r="J91" s="98"/>
      <c r="K91" s="99"/>
      <c r="L91" s="98"/>
      <c r="M91" s="99"/>
      <c r="N91" s="56"/>
    </row>
    <row r="92" spans="1:14">
      <c r="B92" s="45"/>
      <c r="E92" s="50" t="s">
        <v>31</v>
      </c>
      <c r="F92" s="55">
        <v>26</v>
      </c>
      <c r="H92" s="51"/>
      <c r="I92" s="50" t="s">
        <v>30</v>
      </c>
      <c r="J92" s="89">
        <v>0</v>
      </c>
      <c r="K92" s="89"/>
    </row>
  </sheetData>
  <mergeCells count="196">
    <mergeCell ref="D90:G90"/>
    <mergeCell ref="H90:I90"/>
    <mergeCell ref="J90:K90"/>
    <mergeCell ref="L90:M90"/>
    <mergeCell ref="D91:G91"/>
    <mergeCell ref="H91:I91"/>
    <mergeCell ref="J91:K91"/>
    <mergeCell ref="L91:M91"/>
    <mergeCell ref="D88:G88"/>
    <mergeCell ref="H88:I88"/>
    <mergeCell ref="J88:K88"/>
    <mergeCell ref="L88:M88"/>
    <mergeCell ref="D89:G89"/>
    <mergeCell ref="H89:I89"/>
    <mergeCell ref="J89:K89"/>
    <mergeCell ref="L89:M89"/>
    <mergeCell ref="D86:G86"/>
    <mergeCell ref="H86:I86"/>
    <mergeCell ref="J86:K86"/>
    <mergeCell ref="L86:M86"/>
    <mergeCell ref="D87:G87"/>
    <mergeCell ref="H87:I87"/>
    <mergeCell ref="J87:K87"/>
    <mergeCell ref="L87:M87"/>
    <mergeCell ref="E84:K84"/>
    <mergeCell ref="D85:G85"/>
    <mergeCell ref="H85:I85"/>
    <mergeCell ref="J85:K85"/>
    <mergeCell ref="L85:M85"/>
    <mergeCell ref="L81:N81"/>
    <mergeCell ref="A82:D82"/>
    <mergeCell ref="E82:H82"/>
    <mergeCell ref="I82:K82"/>
    <mergeCell ref="L82:N82"/>
    <mergeCell ref="E77:K77"/>
    <mergeCell ref="G79:H79"/>
    <mergeCell ref="A81:D81"/>
    <mergeCell ref="E81:H81"/>
    <mergeCell ref="I81:K81"/>
    <mergeCell ref="D72:G72"/>
    <mergeCell ref="H72:I72"/>
    <mergeCell ref="J72:K72"/>
    <mergeCell ref="L72:M72"/>
    <mergeCell ref="D73:G73"/>
    <mergeCell ref="H73:I73"/>
    <mergeCell ref="J73:K73"/>
    <mergeCell ref="L73:M73"/>
    <mergeCell ref="D70:G70"/>
    <mergeCell ref="H70:I70"/>
    <mergeCell ref="J70:K70"/>
    <mergeCell ref="L70:M70"/>
    <mergeCell ref="D71:G71"/>
    <mergeCell ref="H71:I71"/>
    <mergeCell ref="J71:K71"/>
    <mergeCell ref="L71:M71"/>
    <mergeCell ref="D68:G68"/>
    <mergeCell ref="H68:I68"/>
    <mergeCell ref="J68:K68"/>
    <mergeCell ref="L68:M68"/>
    <mergeCell ref="D69:G69"/>
    <mergeCell ref="H69:I69"/>
    <mergeCell ref="J69:K69"/>
    <mergeCell ref="L69:M69"/>
    <mergeCell ref="E66:K66"/>
    <mergeCell ref="D67:G67"/>
    <mergeCell ref="H67:I67"/>
    <mergeCell ref="J67:K67"/>
    <mergeCell ref="L67:M67"/>
    <mergeCell ref="L63:N63"/>
    <mergeCell ref="A64:D64"/>
    <mergeCell ref="E64:H64"/>
    <mergeCell ref="I64:K64"/>
    <mergeCell ref="L64:N64"/>
    <mergeCell ref="E59:K59"/>
    <mergeCell ref="G61:H61"/>
    <mergeCell ref="A63:D63"/>
    <mergeCell ref="E63:H63"/>
    <mergeCell ref="I63:K63"/>
    <mergeCell ref="D54:G54"/>
    <mergeCell ref="H54:I54"/>
    <mergeCell ref="J54:K54"/>
    <mergeCell ref="L54:M54"/>
    <mergeCell ref="D55:G55"/>
    <mergeCell ref="H55:I55"/>
    <mergeCell ref="J55:K55"/>
    <mergeCell ref="L55:M55"/>
    <mergeCell ref="E46:H46"/>
    <mergeCell ref="I46:K46"/>
    <mergeCell ref="L46:N46"/>
    <mergeCell ref="E48:K48"/>
    <mergeCell ref="D53:G53"/>
    <mergeCell ref="H53:I53"/>
    <mergeCell ref="J53:K53"/>
    <mergeCell ref="L53:M53"/>
    <mergeCell ref="E41:K41"/>
    <mergeCell ref="A45:D45"/>
    <mergeCell ref="E45:H45"/>
    <mergeCell ref="I45:K45"/>
    <mergeCell ref="D51:G51"/>
    <mergeCell ref="H51:I51"/>
    <mergeCell ref="J51:K51"/>
    <mergeCell ref="L51:M51"/>
    <mergeCell ref="D52:G52"/>
    <mergeCell ref="H52:I52"/>
    <mergeCell ref="J52:K52"/>
    <mergeCell ref="L52:M52"/>
    <mergeCell ref="D49:G49"/>
    <mergeCell ref="H49:I49"/>
    <mergeCell ref="J49:K49"/>
    <mergeCell ref="L49:M49"/>
    <mergeCell ref="D50:G50"/>
    <mergeCell ref="H50:I50"/>
    <mergeCell ref="J50:K50"/>
    <mergeCell ref="L50:M50"/>
    <mergeCell ref="L45:N45"/>
    <mergeCell ref="A46:D46"/>
    <mergeCell ref="G43:H43"/>
    <mergeCell ref="D37:G37"/>
    <mergeCell ref="H37:I37"/>
    <mergeCell ref="J37:K37"/>
    <mergeCell ref="L37:M37"/>
    <mergeCell ref="D35:G35"/>
    <mergeCell ref="H35:I35"/>
    <mergeCell ref="J35:K35"/>
    <mergeCell ref="L35:M35"/>
    <mergeCell ref="D36:G36"/>
    <mergeCell ref="H36:I36"/>
    <mergeCell ref="J36:K36"/>
    <mergeCell ref="L36:M36"/>
    <mergeCell ref="H16:I16"/>
    <mergeCell ref="J16:K16"/>
    <mergeCell ref="L16:M16"/>
    <mergeCell ref="E3:K3"/>
    <mergeCell ref="E9:K9"/>
    <mergeCell ref="E13:K13"/>
    <mergeCell ref="D19:G19"/>
    <mergeCell ref="H19:I19"/>
    <mergeCell ref="J19:K19"/>
    <mergeCell ref="I10:K10"/>
    <mergeCell ref="A10:D10"/>
    <mergeCell ref="A11:D11"/>
    <mergeCell ref="D18:G18"/>
    <mergeCell ref="H18:I18"/>
    <mergeCell ref="J18:K18"/>
    <mergeCell ref="J15:K15"/>
    <mergeCell ref="H17:I17"/>
    <mergeCell ref="J17:K17"/>
    <mergeCell ref="L17:M17"/>
    <mergeCell ref="J56:K56"/>
    <mergeCell ref="J38:K38"/>
    <mergeCell ref="J74:K74"/>
    <mergeCell ref="L18:M18"/>
    <mergeCell ref="E23:K23"/>
    <mergeCell ref="A27:D27"/>
    <mergeCell ref="E27:H27"/>
    <mergeCell ref="I27:K27"/>
    <mergeCell ref="G25:H25"/>
    <mergeCell ref="J20:K20"/>
    <mergeCell ref="D33:G33"/>
    <mergeCell ref="H33:I33"/>
    <mergeCell ref="J33:K33"/>
    <mergeCell ref="L33:M33"/>
    <mergeCell ref="E30:K30"/>
    <mergeCell ref="L27:N27"/>
    <mergeCell ref="A28:D28"/>
    <mergeCell ref="E28:H28"/>
    <mergeCell ref="I28:K28"/>
    <mergeCell ref="L28:N28"/>
    <mergeCell ref="D32:G32"/>
    <mergeCell ref="H32:I32"/>
    <mergeCell ref="J32:K32"/>
    <mergeCell ref="L32:M32"/>
    <mergeCell ref="J92:K92"/>
    <mergeCell ref="E10:H10"/>
    <mergeCell ref="E11:H11"/>
    <mergeCell ref="L15:M15"/>
    <mergeCell ref="L11:N11"/>
    <mergeCell ref="I11:K11"/>
    <mergeCell ref="D17:G17"/>
    <mergeCell ref="D15:G15"/>
    <mergeCell ref="D14:G14"/>
    <mergeCell ref="H14:I14"/>
    <mergeCell ref="H15:I15"/>
    <mergeCell ref="J14:K14"/>
    <mergeCell ref="D34:G34"/>
    <mergeCell ref="H34:I34"/>
    <mergeCell ref="J34:K34"/>
    <mergeCell ref="L34:M34"/>
    <mergeCell ref="D31:G31"/>
    <mergeCell ref="H31:I31"/>
    <mergeCell ref="J31:K31"/>
    <mergeCell ref="L10:N10"/>
    <mergeCell ref="D16:G16"/>
    <mergeCell ref="L14:M14"/>
    <mergeCell ref="L31:M31"/>
    <mergeCell ref="L19:M19"/>
  </mergeCells>
  <pageMargins left="0.70866141732283472" right="0.70866141732283472" top="0.74803149606299213" bottom="0.74803149606299213" header="0.31496062992125984" footer="0.31496062992125984"/>
  <pageSetup orientation="landscape" r:id="rId1"/>
  <headerFooter>
    <oddHeader>&amp;L&amp;G&amp;R&amp;G</oddHeader>
    <oddFooter>&amp;C&amp;G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01"/>
  <sheetViews>
    <sheetView showGridLines="0" zoomScaleNormal="100" workbookViewId="0">
      <selection activeCell="A2" sqref="A2"/>
    </sheetView>
  </sheetViews>
  <sheetFormatPr baseColWidth="10" defaultRowHeight="15"/>
  <cols>
    <col min="1" max="1" width="26.42578125" customWidth="1"/>
    <col min="3" max="3" width="74.140625" customWidth="1"/>
    <col min="4" max="4" width="42.28515625" customWidth="1"/>
    <col min="7" max="7" width="37.5703125" customWidth="1"/>
    <col min="9" max="9" width="14.140625" customWidth="1"/>
    <col min="11" max="11" width="19" customWidth="1"/>
    <col min="13" max="13" width="13.42578125" customWidth="1"/>
  </cols>
  <sheetData>
    <row r="1" spans="1:14">
      <c r="A1" s="1" t="s">
        <v>150</v>
      </c>
      <c r="B1" s="1" t="s">
        <v>17</v>
      </c>
      <c r="C1" s="1" t="s">
        <v>5</v>
      </c>
      <c r="D1" s="1" t="s">
        <v>0</v>
      </c>
      <c r="E1" s="1" t="s">
        <v>19</v>
      </c>
      <c r="F1" s="1" t="s">
        <v>20</v>
      </c>
      <c r="G1" s="1" t="s">
        <v>21</v>
      </c>
      <c r="H1" s="1" t="s">
        <v>2</v>
      </c>
      <c r="I1" s="1" t="s">
        <v>3</v>
      </c>
      <c r="J1" s="1" t="s">
        <v>1</v>
      </c>
      <c r="K1" s="1" t="s">
        <v>4</v>
      </c>
      <c r="L1" s="1" t="s">
        <v>15</v>
      </c>
      <c r="M1" s="1" t="s">
        <v>16</v>
      </c>
      <c r="N1" s="1" t="s">
        <v>22</v>
      </c>
    </row>
    <row r="2" spans="1:14">
      <c r="B2" t="str">
        <f>IF(ISNA(VLOOKUP($A$2,Inventario[],2,0))+ISBLANK(VLOOKUP($A$2,Inventario[],2,0)),"",VLOOKUP($A$2,Inventario[],2,0))</f>
        <v/>
      </c>
      <c r="C2" t="str">
        <f>IF(ISNA(VLOOKUP($A$2,Inventario[],4,0))+ISBLANK(VLOOKUP($A$2,Inventario[],4,0)),"",VLOOKUP($A$2,Inventario[],4,0))</f>
        <v/>
      </c>
      <c r="D2" t="str">
        <f>IF(ISNA(VLOOKUP($A$2,Inventario[],5,0))+ISBLANK(VLOOKUP($A$2,Inventario[],5,0)),"",VLOOKUP($A$2,Inventario[],5,0))</f>
        <v/>
      </c>
      <c r="E2" t="str">
        <f>IF(ISNA(VLOOKUP($A$2,Inventario[],6,0))+ISBLANK(VLOOKUP($A$2,Inventario[],6,0)),"",VLOOKUP($A$2,Inventario[],6,0))</f>
        <v/>
      </c>
      <c r="F2" t="str">
        <f>IF(ISNA(VLOOKUP($A$2,Inventario[],7,0))+ISBLANK(VLOOKUP($A$2,Inventario[],7,0)),"",VLOOKUP($A$2,Inventario[],7,0))</f>
        <v/>
      </c>
      <c r="G2" t="str">
        <f>IF(ISNA(VLOOKUP($A$2,Inventario[],8,0))+ISBLANK(VLOOKUP($A$2,Inventario[],8,0)),"",VLOOKUP($A$2,Inventario[],8,0))</f>
        <v/>
      </c>
      <c r="H2" t="str">
        <f>IF(ISNA(VLOOKUP($A$2,Inventario[],9,0))+ISBLANK(VLOOKUP($A$2,Inventario[],9,0)),"",VLOOKUP($A$2,Inventario[],9,0))</f>
        <v/>
      </c>
      <c r="I2" t="str">
        <f>IF(ISNA(VLOOKUP($A$2,Inventario[],10,0))+ISBLANK(VLOOKUP($A$2,Inventario[],10,0)),"",VLOOKUP($A$2,Inventario[],10,0))</f>
        <v/>
      </c>
      <c r="J2" t="str">
        <f>IF(ISNA(VLOOKUP($A$2,Inventario[],11,0))+ISBLANK(VLOOKUP($A$2,Inventario[],11,0)),"",VLOOKUP($A$2,Inventario[],11,0))</f>
        <v/>
      </c>
      <c r="K2" t="str">
        <f>IF(ISNA(VLOOKUP($A$2,Inventario[],12,0))+ISBLANK(VLOOKUP($A$2,Inventario[],12,0)),"",VLOOKUP($A$2,Inventario[],12,0))</f>
        <v/>
      </c>
      <c r="L2" t="str">
        <f>IF(ISNA(VLOOKUP($A$2,Inventario[],13,0))+ISBLANK(VLOOKUP($A$2,Inventario[],13,0)),"",VLOOKUP($A$2,Inventario[],13,0))</f>
        <v/>
      </c>
      <c r="M2" t="str">
        <f>IF(ISNA(VLOOKUP($A$2,Inventario[],14,0))+ISBLANK(VLOOKUP($A$2,Inventario[],14,0)),"",VLOOKUP($A$2,Inventario[],14,0))</f>
        <v/>
      </c>
      <c r="N2" t="str">
        <f>IF(ISNA(VLOOKUP($A$2,Inventario[],15,0))+ISBLANK(VLOOKUP($A$2,Inventario[],15,0)),"",VLOOKUP($A$2,Inventario[],15,0))</f>
        <v/>
      </c>
    </row>
    <row r="6" spans="1:14">
      <c r="A6" s="1" t="s">
        <v>1</v>
      </c>
      <c r="B6" s="1" t="s">
        <v>22</v>
      </c>
      <c r="C6" t="s">
        <v>15</v>
      </c>
      <c r="G6" t="s">
        <v>16</v>
      </c>
    </row>
    <row r="7" spans="1:14">
      <c r="A7" t="s">
        <v>6</v>
      </c>
      <c r="B7" t="s">
        <v>23</v>
      </c>
      <c r="C7" t="s">
        <v>153</v>
      </c>
      <c r="F7" s="6"/>
      <c r="G7" t="s">
        <v>154</v>
      </c>
    </row>
    <row r="8" spans="1:14">
      <c r="A8" t="s">
        <v>7</v>
      </c>
      <c r="B8" t="s">
        <v>14</v>
      </c>
      <c r="C8" t="s">
        <v>55</v>
      </c>
      <c r="F8" s="6"/>
      <c r="G8" t="s">
        <v>178</v>
      </c>
    </row>
    <row r="9" spans="1:14">
      <c r="A9" t="s">
        <v>8</v>
      </c>
      <c r="B9" t="s">
        <v>24</v>
      </c>
      <c r="C9" t="s">
        <v>56</v>
      </c>
      <c r="F9" s="6"/>
      <c r="G9" t="s">
        <v>253</v>
      </c>
    </row>
    <row r="10" spans="1:14">
      <c r="A10" t="s">
        <v>9</v>
      </c>
      <c r="B10" t="s">
        <v>25</v>
      </c>
      <c r="C10" t="s">
        <v>57</v>
      </c>
      <c r="F10" s="6"/>
      <c r="G10" t="s">
        <v>265</v>
      </c>
    </row>
    <row r="11" spans="1:14">
      <c r="A11" t="s">
        <v>13</v>
      </c>
      <c r="C11" t="s">
        <v>58</v>
      </c>
      <c r="F11" s="6"/>
      <c r="G11" t="s">
        <v>319</v>
      </c>
    </row>
    <row r="12" spans="1:14">
      <c r="A12" t="s">
        <v>10</v>
      </c>
      <c r="C12" t="s">
        <v>59</v>
      </c>
      <c r="F12" s="6"/>
      <c r="G12" t="s">
        <v>318</v>
      </c>
    </row>
    <row r="13" spans="1:14">
      <c r="A13" t="s">
        <v>11</v>
      </c>
      <c r="C13" t="s">
        <v>60</v>
      </c>
      <c r="F13" s="6"/>
      <c r="G13" t="s">
        <v>272</v>
      </c>
    </row>
    <row r="14" spans="1:14">
      <c r="A14" t="s">
        <v>12</v>
      </c>
      <c r="C14" t="s">
        <v>61</v>
      </c>
      <c r="F14" s="6"/>
    </row>
    <row r="15" spans="1:14">
      <c r="A15" t="s">
        <v>320</v>
      </c>
      <c r="C15" t="s">
        <v>62</v>
      </c>
      <c r="F15" s="6"/>
    </row>
    <row r="16" spans="1:14">
      <c r="C16" t="s">
        <v>63</v>
      </c>
    </row>
    <row r="17" spans="3:3">
      <c r="C17" t="s">
        <v>64</v>
      </c>
    </row>
    <row r="18" spans="3:3">
      <c r="C18" t="s">
        <v>65</v>
      </c>
    </row>
    <row r="19" spans="3:3">
      <c r="C19" t="s">
        <v>66</v>
      </c>
    </row>
    <row r="20" spans="3:3">
      <c r="C20" t="s">
        <v>67</v>
      </c>
    </row>
    <row r="21" spans="3:3">
      <c r="C21" t="s">
        <v>68</v>
      </c>
    </row>
    <row r="22" spans="3:3">
      <c r="C22" t="s">
        <v>69</v>
      </c>
    </row>
    <row r="23" spans="3:3">
      <c r="C23" t="s">
        <v>70</v>
      </c>
    </row>
    <row r="24" spans="3:3">
      <c r="C24" t="s">
        <v>71</v>
      </c>
    </row>
    <row r="25" spans="3:3">
      <c r="C25" t="s">
        <v>72</v>
      </c>
    </row>
    <row r="26" spans="3:3">
      <c r="C26" t="s">
        <v>73</v>
      </c>
    </row>
    <row r="27" spans="3:3">
      <c r="C27" t="s">
        <v>74</v>
      </c>
    </row>
    <row r="28" spans="3:3">
      <c r="C28" t="s">
        <v>75</v>
      </c>
    </row>
    <row r="29" spans="3:3">
      <c r="C29" t="s">
        <v>76</v>
      </c>
    </row>
    <row r="30" spans="3:3">
      <c r="C30" t="s">
        <v>77</v>
      </c>
    </row>
    <row r="31" spans="3:3">
      <c r="C31" t="s">
        <v>78</v>
      </c>
    </row>
    <row r="32" spans="3:3">
      <c r="C32" t="s">
        <v>79</v>
      </c>
    </row>
    <row r="33" spans="3:3">
      <c r="C33" t="s">
        <v>80</v>
      </c>
    </row>
    <row r="34" spans="3:3">
      <c r="C34" t="s">
        <v>81</v>
      </c>
    </row>
    <row r="35" spans="3:3">
      <c r="C35" t="s">
        <v>82</v>
      </c>
    </row>
    <row r="36" spans="3:3">
      <c r="C36" t="s">
        <v>83</v>
      </c>
    </row>
    <row r="37" spans="3:3">
      <c r="C37" t="s">
        <v>84</v>
      </c>
    </row>
    <row r="38" spans="3:3">
      <c r="C38" t="s">
        <v>85</v>
      </c>
    </row>
    <row r="39" spans="3:3">
      <c r="C39" t="s">
        <v>86</v>
      </c>
    </row>
    <row r="40" spans="3:3">
      <c r="C40" t="s">
        <v>87</v>
      </c>
    </row>
    <row r="41" spans="3:3">
      <c r="C41" t="s">
        <v>88</v>
      </c>
    </row>
    <row r="42" spans="3:3">
      <c r="C42" t="s">
        <v>89</v>
      </c>
    </row>
    <row r="43" spans="3:3">
      <c r="C43" t="s">
        <v>90</v>
      </c>
    </row>
    <row r="44" spans="3:3">
      <c r="C44" t="s">
        <v>91</v>
      </c>
    </row>
    <row r="45" spans="3:3">
      <c r="C45" t="s">
        <v>92</v>
      </c>
    </row>
    <row r="46" spans="3:3">
      <c r="C46" t="s">
        <v>93</v>
      </c>
    </row>
    <row r="47" spans="3:3">
      <c r="C47" t="s">
        <v>94</v>
      </c>
    </row>
    <row r="48" spans="3:3">
      <c r="C48" t="s">
        <v>95</v>
      </c>
    </row>
    <row r="49" spans="3:3">
      <c r="C49" t="s">
        <v>96</v>
      </c>
    </row>
    <row r="50" spans="3:3">
      <c r="C50" t="s">
        <v>97</v>
      </c>
    </row>
    <row r="51" spans="3:3">
      <c r="C51" t="s">
        <v>98</v>
      </c>
    </row>
    <row r="52" spans="3:3">
      <c r="C52" t="s">
        <v>99</v>
      </c>
    </row>
    <row r="53" spans="3:3">
      <c r="C53" t="s">
        <v>100</v>
      </c>
    </row>
    <row r="54" spans="3:3">
      <c r="C54" t="s">
        <v>101</v>
      </c>
    </row>
    <row r="55" spans="3:3">
      <c r="C55" t="s">
        <v>102</v>
      </c>
    </row>
    <row r="56" spans="3:3">
      <c r="C56" t="s">
        <v>103</v>
      </c>
    </row>
    <row r="57" spans="3:3">
      <c r="C57" t="s">
        <v>104</v>
      </c>
    </row>
    <row r="58" spans="3:3">
      <c r="C58" t="s">
        <v>105</v>
      </c>
    </row>
    <row r="59" spans="3:3">
      <c r="C59" t="s">
        <v>106</v>
      </c>
    </row>
    <row r="60" spans="3:3">
      <c r="C60" t="s">
        <v>107</v>
      </c>
    </row>
    <row r="61" spans="3:3">
      <c r="C61" t="s">
        <v>108</v>
      </c>
    </row>
    <row r="62" spans="3:3">
      <c r="C62" t="s">
        <v>109</v>
      </c>
    </row>
    <row r="63" spans="3:3">
      <c r="C63" t="s">
        <v>110</v>
      </c>
    </row>
    <row r="64" spans="3:3">
      <c r="C64" t="s">
        <v>111</v>
      </c>
    </row>
    <row r="65" spans="3:3">
      <c r="C65" t="s">
        <v>112</v>
      </c>
    </row>
    <row r="66" spans="3:3">
      <c r="C66" t="s">
        <v>113</v>
      </c>
    </row>
    <row r="67" spans="3:3">
      <c r="C67" t="s">
        <v>114</v>
      </c>
    </row>
    <row r="68" spans="3:3">
      <c r="C68" t="s">
        <v>115</v>
      </c>
    </row>
    <row r="69" spans="3:3">
      <c r="C69" t="s">
        <v>116</v>
      </c>
    </row>
    <row r="70" spans="3:3">
      <c r="C70" t="s">
        <v>117</v>
      </c>
    </row>
    <row r="71" spans="3:3">
      <c r="C71" t="s">
        <v>118</v>
      </c>
    </row>
    <row r="72" spans="3:3">
      <c r="C72" t="s">
        <v>119</v>
      </c>
    </row>
    <row r="73" spans="3:3">
      <c r="C73" t="s">
        <v>120</v>
      </c>
    </row>
    <row r="74" spans="3:3">
      <c r="C74" t="s">
        <v>121</v>
      </c>
    </row>
    <row r="75" spans="3:3">
      <c r="C75" t="s">
        <v>122</v>
      </c>
    </row>
    <row r="76" spans="3:3">
      <c r="C76" t="s">
        <v>123</v>
      </c>
    </row>
    <row r="77" spans="3:3">
      <c r="C77" t="s">
        <v>124</v>
      </c>
    </row>
    <row r="78" spans="3:3">
      <c r="C78" t="s">
        <v>125</v>
      </c>
    </row>
    <row r="79" spans="3:3">
      <c r="C79" t="s">
        <v>126</v>
      </c>
    </row>
    <row r="80" spans="3:3">
      <c r="C80" t="s">
        <v>127</v>
      </c>
    </row>
    <row r="81" spans="3:3">
      <c r="C81" t="s">
        <v>128</v>
      </c>
    </row>
    <row r="82" spans="3:3">
      <c r="C82" t="s">
        <v>129</v>
      </c>
    </row>
    <row r="83" spans="3:3">
      <c r="C83" t="s">
        <v>130</v>
      </c>
    </row>
    <row r="84" spans="3:3">
      <c r="C84" t="s">
        <v>131</v>
      </c>
    </row>
    <row r="85" spans="3:3">
      <c r="C85" t="s">
        <v>132</v>
      </c>
    </row>
    <row r="86" spans="3:3">
      <c r="C86" t="s">
        <v>133</v>
      </c>
    </row>
    <row r="87" spans="3:3">
      <c r="C87" t="s">
        <v>134</v>
      </c>
    </row>
    <row r="88" spans="3:3">
      <c r="C88" t="s">
        <v>135</v>
      </c>
    </row>
    <row r="89" spans="3:3">
      <c r="C89" t="s">
        <v>136</v>
      </c>
    </row>
    <row r="90" spans="3:3">
      <c r="C90" t="s">
        <v>137</v>
      </c>
    </row>
    <row r="91" spans="3:3">
      <c r="C91" t="s">
        <v>138</v>
      </c>
    </row>
    <row r="92" spans="3:3">
      <c r="C92" t="s">
        <v>139</v>
      </c>
    </row>
    <row r="93" spans="3:3">
      <c r="C93" t="s">
        <v>140</v>
      </c>
    </row>
    <row r="94" spans="3:3">
      <c r="C94" t="s">
        <v>141</v>
      </c>
    </row>
    <row r="95" spans="3:3">
      <c r="C95" t="s">
        <v>142</v>
      </c>
    </row>
    <row r="96" spans="3:3">
      <c r="C96" t="s">
        <v>143</v>
      </c>
    </row>
    <row r="97" spans="3:3">
      <c r="C97" t="s">
        <v>144</v>
      </c>
    </row>
    <row r="98" spans="3:3">
      <c r="C98" t="s">
        <v>145</v>
      </c>
    </row>
    <row r="99" spans="3:3">
      <c r="C99" t="s">
        <v>146</v>
      </c>
    </row>
    <row r="100" spans="3:3">
      <c r="C100" t="s">
        <v>147</v>
      </c>
    </row>
    <row r="101" spans="3:3">
      <c r="C101" t="s">
        <v>148</v>
      </c>
    </row>
  </sheetData>
  <pageMargins left="0.7" right="0.7" top="0.75" bottom="0.75" header="0.3" footer="0.3"/>
  <pageSetup orientation="portrait" horizontalDpi="1200" verticalDpi="1200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INVENTARIO</vt:lpstr>
      <vt:lpstr>BUSQUEDA</vt:lpstr>
      <vt:lpstr>DATOS PARA VALE DE RESGUARDO</vt:lpstr>
      <vt:lpstr>VALE DE RESGUARDO</vt:lpstr>
      <vt:lpstr>DATOS</vt:lpstr>
      <vt:lpstr>ADQUISICIÓN</vt:lpstr>
      <vt:lpstr>BUSQUEDA!Área_de_extracción</vt:lpstr>
      <vt:lpstr>ÁREAS</vt:lpstr>
      <vt:lpstr>BUSQUEDA!Criterios</vt:lpstr>
      <vt:lpstr>ESTATUS</vt:lpstr>
      <vt:lpstr>RESGUARDANTE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</dc:creator>
  <cp:lastModifiedBy>rubenminilap@hotmail.com</cp:lastModifiedBy>
  <cp:lastPrinted>2021-10-13T21:05:10Z</cp:lastPrinted>
  <dcterms:created xsi:type="dcterms:W3CDTF">2021-07-14T05:26:20Z</dcterms:created>
  <dcterms:modified xsi:type="dcterms:W3CDTF">2021-10-18T07:21:37Z</dcterms:modified>
</cp:coreProperties>
</file>